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rys/Desktop/"/>
    </mc:Choice>
  </mc:AlternateContent>
  <xr:revisionPtr revIDLastSave="0" documentId="8_{AAB8450E-DE0A-7D46-B3A6-8F2153F15F82}" xr6:coauthVersionLast="47" xr6:coauthVersionMax="47" xr10:uidLastSave="{00000000-0000-0000-0000-000000000000}"/>
  <bookViews>
    <workbookView xWindow="0" yWindow="500" windowWidth="28800" windowHeight="15720" xr2:uid="{00000000-000D-0000-FFFF-FFFF00000000}"/>
  </bookViews>
  <sheets>
    <sheet name="Liberty costing - DAY BY DAY" sheetId="23" r:id="rId1"/>
  </sheets>
  <definedNames>
    <definedName name="_xlnm.Print_Area" localSheetId="0">'Liberty costing - DAY BY DAY'!$A$1:$J$237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H155" i="23" l="1"/>
  <c r="I155" i="23" s="1"/>
  <c r="J155" i="23" s="1"/>
  <c r="E155" i="23"/>
  <c r="H51" i="23" l="1"/>
  <c r="I51" i="23"/>
  <c r="J51" i="23" s="1"/>
  <c r="H49" i="23"/>
  <c r="E134" i="23"/>
  <c r="H134" i="23"/>
  <c r="H72" i="23"/>
  <c r="I49" i="23" l="1"/>
  <c r="J49" i="23" s="1"/>
  <c r="I134" i="23"/>
  <c r="J134" i="23" s="1"/>
  <c r="E51" i="23"/>
  <c r="E49" i="23"/>
  <c r="I72" i="23"/>
  <c r="J72" i="23" s="1"/>
  <c r="E72" i="23"/>
  <c r="H74" i="23" l="1"/>
  <c r="I74" i="23" s="1"/>
  <c r="J74" i="23" s="1"/>
  <c r="E74" i="23"/>
  <c r="H73" i="23"/>
  <c r="I73" i="23" s="1"/>
  <c r="J73" i="23" s="1"/>
  <c r="E73" i="23"/>
  <c r="H147" i="23" l="1"/>
  <c r="H132" i="23"/>
  <c r="H116" i="23"/>
  <c r="H141" i="23"/>
  <c r="E141" i="23"/>
  <c r="E76" i="23"/>
  <c r="H76" i="23"/>
  <c r="H86" i="23"/>
  <c r="H34" i="23"/>
  <c r="H33" i="23"/>
  <c r="I147" i="23" l="1"/>
  <c r="J147" i="23" s="1"/>
  <c r="E147" i="23"/>
  <c r="I116" i="23"/>
  <c r="J116" i="23" s="1"/>
  <c r="E132" i="23"/>
  <c r="I132" i="23"/>
  <c r="J132" i="23" s="1"/>
  <c r="E116" i="23"/>
  <c r="I141" i="23"/>
  <c r="J141" i="23" s="1"/>
  <c r="I76" i="23"/>
  <c r="J76" i="23" s="1"/>
  <c r="I86" i="23"/>
  <c r="J86" i="23" s="1"/>
  <c r="E86" i="23"/>
  <c r="I34" i="23"/>
  <c r="J34" i="23" s="1"/>
  <c r="I33" i="23"/>
  <c r="J33" i="23" s="1"/>
  <c r="E33" i="23"/>
  <c r="E34" i="23"/>
  <c r="E29" i="23" l="1"/>
  <c r="H29" i="23" l="1"/>
  <c r="I29" i="23" s="1"/>
  <c r="J29" i="23" s="1"/>
  <c r="J164" i="23"/>
  <c r="H133" i="23" l="1"/>
  <c r="I133" i="23" s="1"/>
  <c r="J133" i="23" s="1"/>
  <c r="H110" i="23"/>
  <c r="I110" i="23" s="1"/>
  <c r="J110" i="23" s="1"/>
  <c r="H109" i="23"/>
  <c r="E100" i="23"/>
  <c r="H79" i="23"/>
  <c r="I79" i="23" s="1"/>
  <c r="J79" i="23" s="1"/>
  <c r="H78" i="23"/>
  <c r="E60" i="23"/>
  <c r="H60" i="23"/>
  <c r="E28" i="23"/>
  <c r="H28" i="23"/>
  <c r="H27" i="23"/>
  <c r="E27" i="23"/>
  <c r="H26" i="23"/>
  <c r="E26" i="23"/>
  <c r="E30" i="23" s="1"/>
  <c r="E164" i="23" l="1"/>
  <c r="E109" i="23"/>
  <c r="I109" i="23"/>
  <c r="J109" i="23" s="1"/>
  <c r="E78" i="23"/>
  <c r="I60" i="23"/>
  <c r="J60" i="23" s="1"/>
  <c r="I28" i="23"/>
  <c r="J28" i="23" s="1"/>
  <c r="I27" i="23"/>
  <c r="J27" i="23" s="1"/>
  <c r="I26" i="23"/>
  <c r="J26" i="23" s="1"/>
  <c r="J30" i="23" l="1"/>
  <c r="I78" i="23"/>
  <c r="J78" i="23" s="1"/>
  <c r="H138" i="23"/>
  <c r="I138" i="23" s="1"/>
  <c r="J138" i="23" s="1"/>
  <c r="H137" i="23"/>
  <c r="H136" i="23"/>
  <c r="E130" i="23"/>
  <c r="E128" i="23"/>
  <c r="H126" i="23"/>
  <c r="I126" i="23" s="1"/>
  <c r="J126" i="23" s="1"/>
  <c r="E126" i="23"/>
  <c r="H125" i="23"/>
  <c r="I125" i="23" s="1"/>
  <c r="J125" i="23" s="1"/>
  <c r="H124" i="23"/>
  <c r="H123" i="23"/>
  <c r="I123" i="23" s="1"/>
  <c r="J123" i="23" s="1"/>
  <c r="E123" i="23"/>
  <c r="H122" i="23"/>
  <c r="I122" i="23" s="1"/>
  <c r="J122" i="23" s="1"/>
  <c r="H121" i="23"/>
  <c r="E121" i="23"/>
  <c r="H120" i="23"/>
  <c r="H118" i="23"/>
  <c r="I118" i="23" s="1"/>
  <c r="J118" i="23" s="1"/>
  <c r="H104" i="23"/>
  <c r="E104" i="23"/>
  <c r="H103" i="23"/>
  <c r="E103" i="23"/>
  <c r="H101" i="23"/>
  <c r="E101" i="23"/>
  <c r="I137" i="23" l="1"/>
  <c r="J137" i="23" s="1"/>
  <c r="E136" i="23"/>
  <c r="E137" i="23"/>
  <c r="I121" i="23"/>
  <c r="J121" i="23" s="1"/>
  <c r="E124" i="23"/>
  <c r="I124" i="23"/>
  <c r="J124" i="23" s="1"/>
  <c r="I120" i="23"/>
  <c r="J120" i="23" s="1"/>
  <c r="E120" i="23"/>
  <c r="I104" i="23"/>
  <c r="J104" i="23" s="1"/>
  <c r="I101" i="23"/>
  <c r="J101" i="23" s="1"/>
  <c r="I103" i="23"/>
  <c r="J103" i="23" s="1"/>
  <c r="I136" i="23" l="1"/>
  <c r="J136" i="23" s="1"/>
  <c r="E157" i="23" l="1"/>
  <c r="E154" i="23"/>
  <c r="H148" i="23" l="1"/>
  <c r="H96" i="23"/>
  <c r="I96" i="23" s="1"/>
  <c r="J96" i="23" s="1"/>
  <c r="H107" i="23"/>
  <c r="E107" i="23"/>
  <c r="H47" i="23"/>
  <c r="E47" i="23"/>
  <c r="H71" i="23"/>
  <c r="I71" i="23" s="1"/>
  <c r="J71" i="23" s="1"/>
  <c r="H42" i="23"/>
  <c r="I42" i="23" s="1"/>
  <c r="J42" i="23" s="1"/>
  <c r="H65" i="23"/>
  <c r="I148" i="23" l="1"/>
  <c r="J148" i="23" s="1"/>
  <c r="E148" i="23"/>
  <c r="I107" i="23"/>
  <c r="J107" i="23" s="1"/>
  <c r="I47" i="23"/>
  <c r="J47" i="23" s="1"/>
  <c r="H84" i="23"/>
  <c r="I84" i="23" s="1"/>
  <c r="J84" i="23" s="1"/>
  <c r="H83" i="23"/>
  <c r="H82" i="23"/>
  <c r="E82" i="23"/>
  <c r="H81" i="23"/>
  <c r="I65" i="23" l="1"/>
  <c r="J65" i="23" s="1"/>
  <c r="I83" i="23"/>
  <c r="J83" i="23" s="1"/>
  <c r="I82" i="23"/>
  <c r="J82" i="23" s="1"/>
  <c r="E83" i="23"/>
  <c r="E81" i="23"/>
  <c r="I81" i="23"/>
  <c r="J81" i="23" s="1"/>
  <c r="H67" i="23" l="1"/>
  <c r="E67" i="23"/>
  <c r="H66" i="23"/>
  <c r="E98" i="23"/>
  <c r="I66" i="23" l="1"/>
  <c r="J66" i="23" s="1"/>
  <c r="E66" i="23"/>
  <c r="I67" i="23"/>
  <c r="J67" i="23" s="1"/>
  <c r="H98" i="23" l="1"/>
  <c r="I98" i="23" s="1"/>
  <c r="J98" i="23" s="1"/>
  <c r="H58" i="23"/>
  <c r="I58" i="23" s="1"/>
  <c r="J58" i="23" s="1"/>
  <c r="E58" i="23"/>
  <c r="H45" i="23"/>
  <c r="I45" i="23" s="1"/>
  <c r="J45" i="23" s="1"/>
  <c r="E45" i="23"/>
  <c r="H92" i="23" l="1"/>
  <c r="E92" i="23"/>
  <c r="H61" i="23"/>
  <c r="E61" i="23"/>
  <c r="I92" i="23" l="1"/>
  <c r="J92" i="23" s="1"/>
  <c r="I61" i="23"/>
  <c r="J61" i="23" s="1"/>
  <c r="H43" i="23" l="1"/>
  <c r="I43" i="23" s="1"/>
  <c r="J43" i="23" s="1"/>
  <c r="H44" i="23"/>
  <c r="E44" i="23"/>
  <c r="H97" i="23"/>
  <c r="H95" i="23"/>
  <c r="H59" i="23"/>
  <c r="I59" i="23" s="1"/>
  <c r="J59" i="23" s="1"/>
  <c r="H57" i="23"/>
  <c r="E57" i="23"/>
  <c r="H56" i="23"/>
  <c r="I44" i="23" l="1"/>
  <c r="J44" i="23" s="1"/>
  <c r="I97" i="23"/>
  <c r="J97" i="23" s="1"/>
  <c r="I95" i="23"/>
  <c r="J95" i="23" s="1"/>
  <c r="E97" i="23"/>
  <c r="I56" i="23"/>
  <c r="J56" i="23" s="1"/>
  <c r="I57" i="23"/>
  <c r="J57" i="23" s="1"/>
  <c r="E95" i="23" l="1"/>
  <c r="E56" i="23"/>
  <c r="H94" i="23" l="1"/>
  <c r="I94" i="23" s="1"/>
  <c r="J94" i="23" s="1"/>
  <c r="E94" i="23"/>
  <c r="H62" i="23"/>
  <c r="I62" i="23" s="1"/>
  <c r="J62" i="23" s="1"/>
  <c r="E62" i="23"/>
  <c r="H93" i="23"/>
  <c r="I93" i="23" s="1"/>
  <c r="J93" i="23" s="1"/>
  <c r="H91" i="23"/>
  <c r="I91" i="23" l="1"/>
  <c r="J91" i="23" s="1"/>
  <c r="E91" i="23"/>
  <c r="H114" i="23" l="1"/>
  <c r="I114" i="23" s="1"/>
  <c r="J114" i="23" s="1"/>
  <c r="H113" i="23"/>
  <c r="E113" i="23"/>
  <c r="H112" i="23"/>
  <c r="I113" i="23" l="1"/>
  <c r="J113" i="23" s="1"/>
  <c r="I112" i="23"/>
  <c r="J112" i="23" s="1"/>
  <c r="E112" i="23"/>
  <c r="J149" i="23" l="1"/>
  <c r="E69" i="23" l="1"/>
  <c r="H89" i="23" l="1"/>
  <c r="I89" i="23" s="1"/>
  <c r="J89" i="23" s="1"/>
  <c r="H39" i="23"/>
  <c r="I39" i="23" s="1"/>
  <c r="J39" i="23" s="1"/>
  <c r="H36" i="23"/>
  <c r="I36" i="23" s="1"/>
  <c r="J36" i="23" s="1"/>
  <c r="H35" i="23"/>
  <c r="I35" i="23" l="1"/>
  <c r="J35" i="23" s="1"/>
  <c r="E35" i="23"/>
  <c r="H75" i="23" l="1"/>
  <c r="E75" i="23"/>
  <c r="H40" i="23"/>
  <c r="I40" i="23" s="1"/>
  <c r="J40" i="23" s="1"/>
  <c r="E40" i="23"/>
  <c r="E39" i="23"/>
  <c r="H38" i="23"/>
  <c r="H37" i="23"/>
  <c r="I37" i="23" l="1"/>
  <c r="J37" i="23" s="1"/>
  <c r="I38" i="23"/>
  <c r="J38" i="23" s="1"/>
  <c r="I75" i="23"/>
  <c r="J75" i="23" s="1"/>
  <c r="E37" i="23"/>
  <c r="E38" i="23"/>
  <c r="E149" i="23" l="1"/>
  <c r="E166" i="23" s="1"/>
  <c r="E158" i="23"/>
  <c r="E168" i="23" s="1"/>
  <c r="H154" i="23"/>
  <c r="I154" i="23" s="1"/>
  <c r="J154" i="23" s="1"/>
  <c r="H157" i="23"/>
  <c r="I157" i="23" s="1"/>
  <c r="J157" i="23" s="1"/>
  <c r="J158" i="23" l="1"/>
  <c r="J168" i="23" s="1"/>
  <c r="J166" i="23" l="1"/>
  <c r="J170" i="23" s="1"/>
  <c r="J172" i="23" s="1"/>
  <c r="E170" i="23"/>
  <c r="E172" i="23" s="1"/>
</calcChain>
</file>

<file path=xl/sharedStrings.xml><?xml version="1.0" encoding="utf-8"?>
<sst xmlns="http://schemas.openxmlformats.org/spreadsheetml/2006/main" count="458" uniqueCount="191">
  <si>
    <t>Total</t>
  </si>
  <si>
    <t>Units</t>
  </si>
  <si>
    <t>GROUP NAME:</t>
  </si>
  <si>
    <t>DESTINATION:</t>
  </si>
  <si>
    <t>DATES:</t>
  </si>
  <si>
    <t>PAX / ROOMS:</t>
  </si>
  <si>
    <t>INCOMING CONTACT:</t>
  </si>
  <si>
    <t>QUOTATION</t>
  </si>
  <si>
    <t>Remarks</t>
  </si>
  <si>
    <t>Price per unit</t>
  </si>
  <si>
    <t>TERMS &amp; CONDITIONS</t>
  </si>
  <si>
    <t>CANCELLATION POLICY</t>
  </si>
  <si>
    <t>Please proceed bank transfers to the following Bank Account:</t>
  </si>
  <si>
    <t>APPLICABLE RATES</t>
  </si>
  <si>
    <t>All mentioned rates are based upon the number of participants indicated in this quote.</t>
  </si>
  <si>
    <t xml:space="preserve">Balance of final payment will be settled on the revised budgets, decreased by the deposits already paid by the client immediately after the receipt of the final invoice. </t>
  </si>
  <si>
    <t>Offer subject to availability at the time of confirmation of client.</t>
  </si>
  <si>
    <t>JURISDICTION</t>
  </si>
  <si>
    <t>The contractual relationship shall be subject to the laws of the country/ territory where the contracted services are being performed or provided, unless otherwise contractually agreed.</t>
  </si>
  <si>
    <t>Signature and COMPANY STAMP</t>
  </si>
  <si>
    <t xml:space="preserve">   
   </t>
  </si>
  <si>
    <t xml:space="preserve">TOTAL COSTS </t>
  </si>
  <si>
    <t>TOTAL COSTS per person</t>
  </si>
  <si>
    <t>based on pax</t>
  </si>
  <si>
    <t>Project Manager (daily rate)</t>
  </si>
  <si>
    <t>Project Manager (hourly rate)</t>
  </si>
  <si>
    <t>Onsite Support</t>
  </si>
  <si>
    <t xml:space="preserve">                 only if applicable to all below rates.</t>
  </si>
  <si>
    <t>COST SUMMARY</t>
  </si>
  <si>
    <t>TOTAL</t>
  </si>
  <si>
    <t>Days</t>
  </si>
  <si>
    <t xml:space="preserve">Direct link to Terms &amp; Conditions for Purchase &amp; Sales Services </t>
  </si>
  <si>
    <t xml:space="preserve">Direct link to Terms &amp; Conditions for Procurement Services </t>
  </si>
  <si>
    <t>Apart from the General Terms &amp; Conditions Liberty and the client accept and agree to the special terms hereunder:</t>
  </si>
  <si>
    <t>Relevant for the calculation of cancellation cost is Liberty's written receipt of the cancellation notice.</t>
  </si>
  <si>
    <t>For wire transfers: all bank charges, currency conversion, currency exchange control, or other charges incurred in connection with any payment will be the sole responsibility of the client.  </t>
  </si>
  <si>
    <t>Service charges for payments made by Credit Card need to be carried by the client. The exchange of credit card data is the sole liability of the client.</t>
  </si>
  <si>
    <t>If the number of participants increases or decreases we reserve the right to modify rates given.</t>
  </si>
  <si>
    <t>In case of any change in fiscal policy or tax applied by the Local Government, Liberty reserves the right to modify rates given.</t>
  </si>
  <si>
    <t>CONFIDENTIALITY NOTE</t>
  </si>
  <si>
    <t>DATE</t>
  </si>
  <si>
    <t>CLIENT CONTACT NAME AND TITLE</t>
  </si>
  <si>
    <t>In case of cancellation by Client according to section 13.2 of the LITG Terms &amp; Conditions, Liberty is entitled to a flat charge for damage compensation (Cancellation) in accordance with sections 13.3 through 13.6 of the LITG Terms &amp; Condition. The parties agree on the following cancellation fees as a percentage of the contractually agreed total compensation:</t>
  </si>
  <si>
    <r>
      <t xml:space="preserve">                VAT NOT RECLAIMED        
</t>
    </r>
    <r>
      <rPr>
        <b/>
        <strike/>
        <sz val="11"/>
        <rFont val="Arial"/>
        <family val="2"/>
      </rPr>
      <t/>
    </r>
  </si>
  <si>
    <t>Any extras on site will be billed at net cost + 15% Liberty fee; unless otherwise agreed.</t>
  </si>
  <si>
    <t>Liberty CONTACT NAME and TITLE</t>
  </si>
  <si>
    <t>SERVICES - DAY BY DAY</t>
  </si>
  <si>
    <t>NET RATES, inclusive of Taxes, Service Charges and Liberty handling fees.</t>
  </si>
  <si>
    <t>LIBERTY SERVICES</t>
  </si>
  <si>
    <t xml:space="preserve">LIBERTY SERVICES </t>
  </si>
  <si>
    <t>The General Data Protection Regulation (GDPR) (EU) 2016/679 is a regulation in EU law on data protection and privacy for all individuals within the European Union. We take the GDPR very serious and therefore our Data Processing Addendum is accessible worldwide via this direct link below:</t>
  </si>
  <si>
    <r>
      <rPr>
        <b/>
        <u/>
        <sz val="12"/>
        <rFont val="Century Gothic"/>
        <family val="1"/>
      </rPr>
      <t>PRICING MODEL</t>
    </r>
    <r>
      <rPr>
        <b/>
        <sz val="11"/>
        <rFont val="Century Gothic"/>
        <family val="1"/>
      </rPr>
      <t xml:space="preserve">  </t>
    </r>
  </si>
  <si>
    <r>
      <rPr>
        <b/>
        <u/>
        <sz val="12"/>
        <rFont val="Century Gothic"/>
        <family val="1"/>
      </rPr>
      <t>COMMISSION AGREEMENT</t>
    </r>
    <r>
      <rPr>
        <b/>
        <sz val="11"/>
        <rFont val="Century Gothic"/>
        <family val="1"/>
      </rPr>
      <t xml:space="preserve"> </t>
    </r>
  </si>
  <si>
    <r>
      <t xml:space="preserve">             NON COMMISSIONABLE RATES     
</t>
    </r>
    <r>
      <rPr>
        <b/>
        <strike/>
        <sz val="11"/>
        <rFont val="Arial"/>
        <family val="2"/>
      </rPr>
      <t/>
    </r>
  </si>
  <si>
    <r>
      <t xml:space="preserve">             COMMISSIONABLE RATES:               </t>
    </r>
    <r>
      <rPr>
        <sz val="11"/>
        <rFont val="Century Gothic"/>
        <family val="1"/>
      </rPr>
      <t xml:space="preserve">Commissionable at: </t>
    </r>
    <r>
      <rPr>
        <b/>
        <sz val="11"/>
        <rFont val="Century Gothic"/>
        <family val="1"/>
      </rPr>
      <t xml:space="preserve">
</t>
    </r>
    <r>
      <rPr>
        <b/>
        <strike/>
        <sz val="11"/>
        <rFont val="Arial"/>
        <family val="2"/>
      </rPr>
      <t/>
    </r>
  </si>
  <si>
    <t xml:space="preserve">Those are accessible worldwide via the URL: https://www.liberty-int.com/terms-and-conditions/ </t>
  </si>
  <si>
    <t>!</t>
  </si>
  <si>
    <t>To be defined based on final program of the group</t>
  </si>
  <si>
    <t xml:space="preserve">All rates are Net (non-commissionable unless otherwise stated) in EURO including taxes and service charges. Any addition to services will incur charges accordingly. </t>
  </si>
  <si>
    <t>This information is confidential and the sole property of LIBERTY INCENTIVES &amp; CONGESSES FRANCE.</t>
  </si>
  <si>
    <t>Any altering or additions without LIBERTY INCENTIVES &amp; CONGESSES FRANCE's consent will make this document invalid.</t>
  </si>
  <si>
    <r>
      <t xml:space="preserve">EURO     CURRENCY OF THIS QUOTATION        
</t>
    </r>
    <r>
      <rPr>
        <b/>
        <strike/>
        <sz val="11"/>
        <rFont val="Arial"/>
        <family val="2"/>
      </rPr>
      <t/>
    </r>
  </si>
  <si>
    <t>VAT %</t>
  </si>
  <si>
    <t>NET UNIT RATES (excl VAT)</t>
  </si>
  <si>
    <t>NET TOTAL (VAT excl)</t>
  </si>
  <si>
    <r>
      <rPr>
        <b/>
        <u/>
        <sz val="9"/>
        <rFont val="Century Gothic"/>
        <family val="2"/>
      </rPr>
      <t>PAYMENT TERMS</t>
    </r>
    <r>
      <rPr>
        <sz val="9"/>
        <rFont val="Century Gothic"/>
        <family val="2"/>
      </rPr>
      <t xml:space="preserve">
Payments must be received in full in EURO.</t>
    </r>
  </si>
  <si>
    <r>
      <t>Deposit/Payment Schedule:</t>
    </r>
    <r>
      <rPr>
        <sz val="9"/>
        <rFont val="Century Gothic"/>
        <family val="2"/>
      </rPr>
      <t xml:space="preserve"> </t>
    </r>
  </si>
  <si>
    <t>NET RATES WITHOUT VAT</t>
  </si>
  <si>
    <t xml:space="preserve"> </t>
  </si>
  <si>
    <t xml:space="preserve">FORCE MAJEURE  </t>
  </si>
  <si>
    <t>For purposes of this Agreement, “Force Majeure” shall include event where a  cancellation, or failure of client to perform its obligations under this Agreement is due to severe and unexpected reasons beyond such Party’s control, including, war in the region, global terrorism, civil insurrection, cyber-attacks, revolution, acts of God, acts of state or national governments decrees which cannot be revoked and/or world-wide epidemics.
In such a case, the client shall have to notify in writing to Liberty that a Force Majeure event occurred and to state exactly the reason for the event.
Liberty shall have the right to reject this notification in a written notification.
Should Liberty accept the notification, the parties shall act as follows:
1.	
Liberty shall make reasonable effort to cancel all services such as hotels reservation etc. As long as the cancellations are subject to fines or other payments, the client shall pay these sums in accordance to Liberty’ notifications. 
2.	
Services which cannot be canceled shall be paid by the client.
3.	
The client shall pay Liberty fees which reflect 10% of the total order for handling the situation for the client. This sum shall be deducted in the future if the order would re-schedule within 12 months of the Force Majeure event</t>
  </si>
  <si>
    <t>BNP – GROUP IDF – CENTRE AFF</t>
  </si>
  <si>
    <t xml:space="preserve">Banque N. 30004                    Agence N. 00178 </t>
  </si>
  <si>
    <t>Compte N. 00010136826 92</t>
  </si>
  <si>
    <t>IBAN: FR76 3000 4001 7800 0101 3682 692</t>
  </si>
  <si>
    <t>Coordination of the event of site -  8 hours</t>
  </si>
  <si>
    <t>Coordination of the event of site -  per  hour</t>
  </si>
  <si>
    <t xml:space="preserve">To be adviced </t>
  </si>
  <si>
    <t>The budget is at this moment all taxes included, but in case of an event, we are able to offer you the solution of invoicing in REVERSE CHARGE system within Europe.  
In case you confirm this event, we can review the rates for all land services (except accommodation) and apply the Reverse charge system, which basically 
lower the budget about 10 – 11 %.</t>
  </si>
  <si>
    <r>
      <t>The</t>
    </r>
    <r>
      <rPr>
        <sz val="9"/>
        <rFont val="Century Gothic"/>
        <family val="2"/>
      </rPr>
      <t xml:space="preserve"> General Terms &amp; Conditions of the Agency L</t>
    </r>
    <r>
      <rPr>
        <sz val="9"/>
        <rFont val="Century Gothic"/>
        <family val="1"/>
      </rPr>
      <t xml:space="preserve">IBERTY INTERNATIONAL TOURISM GROUP and its companies apply. </t>
    </r>
  </si>
  <si>
    <t>Link</t>
  </si>
  <si>
    <t>SWIFT: BNPAFRPPXXX</t>
  </si>
  <si>
    <r>
      <t xml:space="preserve">Liberty Incentives and Congresses France  is the appointed DMC for this quote on the dates stated above and will be referred to as </t>
    </r>
    <r>
      <rPr>
        <b/>
        <sz val="9"/>
        <rFont val="Century Gothic"/>
        <family val="1"/>
      </rPr>
      <t>“Liberty”</t>
    </r>
    <r>
      <rPr>
        <sz val="9"/>
        <rFont val="Century Gothic"/>
        <family val="1"/>
      </rPr>
      <t xml:space="preserve"> in this agreement.</t>
    </r>
  </si>
  <si>
    <t>Price per unit
VAT INCLUDED</t>
  </si>
  <si>
    <t>Total
VAT INCLUDED</t>
  </si>
  <si>
    <t>bottle of water  50 cl per person</t>
  </si>
  <si>
    <t xml:space="preserve">entrance free visit Top Car collection per person </t>
  </si>
  <si>
    <t>ACTIVITY STOP - Tapenade Workshop per person, starting from</t>
  </si>
  <si>
    <t>Transfer from NICE Airport or train station/ Nice city center to NICE (hotel) or viceversa</t>
  </si>
  <si>
    <t xml:space="preserve">Flight/ Train delays will be charged, per every 30min delay </t>
  </si>
  <si>
    <t>Additional Hour: Day Time (8h-19h)</t>
  </si>
  <si>
    <t>Additional Hour: Night Time (19h-8h)</t>
  </si>
  <si>
    <t xml:space="preserve"> extra 25% Sunday and bank holiday </t>
  </si>
  <si>
    <t>TRANSFERS (Airports)</t>
  </si>
  <si>
    <t xml:space="preserve">Driver's meal included </t>
  </si>
  <si>
    <t xml:space="preserve">Guide's meal included </t>
  </si>
  <si>
    <t>English Assistance/Guide : Day (8hours : 8h-18h)</t>
  </si>
  <si>
    <t>3 courses menu including 1/3 bottle of wine, mineral water and coffee - per person, starting from</t>
  </si>
  <si>
    <t>English assistance for arrival half day Day, per guide (from 2h to 4hours : 8h-13h/13h-19h)</t>
  </si>
  <si>
    <t>Nice</t>
  </si>
  <si>
    <t>STAFF ON SITE</t>
  </si>
  <si>
    <t xml:space="preserve">Driver's meal  included </t>
  </si>
  <si>
    <t xml:space="preserve">TRANSPORTATION DURING EVENING </t>
  </si>
  <si>
    <t>English Assistance/Guide : Evening (4hours : 19h-23h)</t>
  </si>
  <si>
    <t>DAY 2°</t>
  </si>
  <si>
    <t>DAY 3°</t>
  </si>
  <si>
    <t>DAY 4°</t>
  </si>
  <si>
    <t>DAY 5°</t>
  </si>
  <si>
    <t>DEPARTURE TRANSFERS</t>
  </si>
  <si>
    <t xml:space="preserve">headphone per person </t>
  </si>
  <si>
    <t>English Guide : 1/2 Day disposal, per guide (4hours : 8h-13h/13h-19h) max 25/30 person per guide</t>
  </si>
  <si>
    <t>An extraordinary experience for you, who will be behind the wheel of iconic convertibles from the 60s/70s (MG, Triumph, Jaguar, Porsche, Corvette, Mustang…) on a dazzling course on the exceptional roads of the French Riviera to Monaco. At each stop you will change cars! Experience elegance and nostalgia at the wheel of these legendary automobiles.</t>
  </si>
  <si>
    <t>afternoon</t>
  </si>
  <si>
    <t xml:space="preserve">morning </t>
  </si>
  <si>
    <t>Walking tour Nice half day</t>
  </si>
  <si>
    <t>morning</t>
  </si>
  <si>
    <t>Explore Nice on a guided walking tour and discover its elegant promenade, fabulous beaches, and stunning architecture. Learn about the history of the city with a local guide. Discover Nice's Old Town, your  local guide who will show you all the top spots of the city. Hear stories about this historical city and pass by famous sites en route.</t>
  </si>
  <si>
    <t>For pick-up from 7:00 a.m. to 8:00 p.m</t>
  </si>
  <si>
    <t>Porterage at airport, price for luggage, starting from</t>
  </si>
  <si>
    <t>English Guide : Day (8hours : 8h-18h)</t>
  </si>
  <si>
    <t>Cars park at the departure, arrival and on the itinerary : not included - TBC subject to the final itinerary
Cars park at the Hotel : subject to Hotel authorization
 Driving license : compulsory
 Driving licenses out of E.U : International driving license compulsory
Copies of the driving licenses have to be provided 48 hours before the event starts
Driving licenses must be translate in english (or european language) in case of police control
Participants have to get their driving license with them during the activity
Cars deposit : 10 000€ VAT excl for the whole fleet
- Minimum : 4 cars
Maximun : 25 cars                                       CLASSIC CAR RALLYMaximum number of pax / car 2 or 4
Budgets subject to fuel price increase</t>
  </si>
  <si>
    <t>60 seats max</t>
  </si>
  <si>
    <t>option:  Petit Train in Nice</t>
  </si>
  <si>
    <t>option:  Petit Train in Cannes</t>
  </si>
  <si>
    <t>Car Park MONACO 4h mandatory for coach</t>
  </si>
  <si>
    <t>TASTING WINE ON THE ISLAND “Discovery Lérins” tasting: Saint Pierre white + Saint Honorat red starting  from</t>
  </si>
  <si>
    <t>3-course menu, incl,  1/2 mineral water and coffee</t>
  </si>
  <si>
    <t>beverage package wine 1/2 bottle of  from</t>
  </si>
  <si>
    <t>option:  St Honorat island with wine tasting</t>
  </si>
  <si>
    <t>per person</t>
  </si>
  <si>
    <t>not mandatory depending distance hotel</t>
  </si>
  <si>
    <t>English extra hour day</t>
  </si>
  <si>
    <t>HOTEL</t>
  </si>
  <si>
    <t>HOTEL NICE</t>
  </si>
  <si>
    <t>Superior  double Room incl. Breakfast per night per room</t>
  </si>
  <si>
    <t xml:space="preserve">city tax per person per day  </t>
  </si>
  <si>
    <t>Parking Cannes</t>
  </si>
  <si>
    <t xml:space="preserve">   Parking Saint Paul</t>
  </si>
  <si>
    <r>
      <t xml:space="preserve"> OPTION PARFUM 1/ GRASSE The Perfumer’s apprentice workshop at Fragonard      </t>
    </r>
    <r>
      <rPr>
        <b/>
        <sz val="11"/>
        <rFont val="Century Gothic"/>
        <family val="2"/>
      </rPr>
      <t xml:space="preserve">                                                     </t>
    </r>
    <r>
      <rPr>
        <sz val="11"/>
        <rFont val="Century Gothic"/>
        <family val="1"/>
      </rPr>
      <t xml:space="preserve">                                                                                  the guided tour before and/or after the workshop, in the language of your choice 
- the course led by the teacher (duration 1h30)
- the bottle with the 100 ml of creation and the diploma signed by the teacher
- a “Fragonard” printed cotton apron
- the summary of the composition</t>
    </r>
  </si>
  <si>
    <t xml:space="preserve"> lunch 3-course menu, incl 1soft, 1/2 mineral water and coffee, from</t>
  </si>
  <si>
    <t xml:space="preserve">English assistance for departure half day Day, per guide </t>
  </si>
  <si>
    <t>option lunch: Castle ROC Restaurant or similar</t>
  </si>
  <si>
    <t>option dinner:  LE MAYSSA RESTAURANT  Villefranche sur Mer) or similar</t>
  </si>
  <si>
    <t xml:space="preserve">Boat ticket  ferry roundtrip Cannes St Honorat island (20 minutes duration) </t>
  </si>
  <si>
    <t>option lunch: La Tonnelle Restaurant on the island</t>
  </si>
  <si>
    <t xml:space="preserve">FULL DAY ST HONORAT ISLAND &amp; CANNES </t>
  </si>
  <si>
    <t>FULL DAY MONACO</t>
  </si>
  <si>
    <t xml:space="preserve"> CLASSIC CAR RALLY  from Nice to Monaco by self driving</t>
  </si>
  <si>
    <t>option lunch: Alain llorca Restaurant</t>
  </si>
  <si>
    <t xml:space="preserve">PLEASE NOTE : 
This is a quotation only. Rates are subject to modification depending on booking time and dates. All rates are bases on 2025 rates.
Considering the current geopolitical situation, the cost of fuel is rising considerably
This increase could affect the prices indicated in our proposal
At the time of confirmation, depending on the supplier who will provide us with the availability, the price could be modified 
No option or booking have been made. </t>
  </si>
  <si>
    <t>sept/oct 2025</t>
  </si>
  <si>
    <t>September or October prices starting from</t>
  </si>
  <si>
    <t xml:space="preserve"> the event rooms include a head table, pens and notepads, mineral water, a screen, a sound system, and a flip chart (any additional equipment required will be available upon request).
Entertainment, decoration, and audiovisual services are additional costs</t>
  </si>
  <si>
    <t>Minibus 16-27 seats (one luggage per person)</t>
  </si>
  <si>
    <t xml:space="preserve">Car Parking Airport Nice (only for pick-ups) </t>
  </si>
  <si>
    <t xml:space="preserve">Extra hour before 21h00 </t>
  </si>
  <si>
    <t>Group  Small Train in Nice– Château circuit 50 min) starting from</t>
  </si>
  <si>
    <t>3-course menu, incl 1/3 wine, 1/2 mineral water and coffee, from</t>
  </si>
  <si>
    <t xml:space="preserve">Helicopter panoramic tour 20 min price per Helicopter (6 pax each max) starting from, price per Helicopter </t>
  </si>
  <si>
    <r>
      <t xml:space="preserve">Bus 16-27 seats </t>
    </r>
    <r>
      <rPr>
        <i/>
        <sz val="11"/>
        <rFont val="Century Gothic"/>
        <family val="2"/>
      </rPr>
      <t xml:space="preserve"> between 19h and 00h 5h at disposal  </t>
    </r>
  </si>
  <si>
    <t>Bus 16-27 seats  full day 8h at disposal</t>
  </si>
  <si>
    <t xml:space="preserve">  Small Train in Cannes– Château circuit 1h</t>
  </si>
  <si>
    <r>
      <t>Bus 16 - 27seats</t>
    </r>
    <r>
      <rPr>
        <i/>
        <sz val="11"/>
        <rFont val="Century Gothic"/>
        <family val="2"/>
      </rPr>
      <t xml:space="preserve"> between 19h and 00h 5h at disposal  </t>
    </r>
  </si>
  <si>
    <t>Bus 16-27 seats full day 8h</t>
  </si>
  <si>
    <t xml:space="preserve"> DINNER</t>
  </si>
  <si>
    <t>Dinner at Terrasse hotel restaurant:  3 courses menu including 1 glass of wine, mineral water and coffee - per person, starting from</t>
  </si>
  <si>
    <t>dinner at hotel restaurant Seen</t>
  </si>
  <si>
    <t>Bus 28-53 seats   half day 4h afternoon</t>
  </si>
  <si>
    <t>CLASSIC CAR RALLY based on - 18 pax
- 6 cars
- 1/2 day morning
- Departure Nice / Arrival Monaco   Including:
Event conception, organization, authorization &amp; insurance 1
Classic cars rental - Half day disposal (4 hours) 
Insurance &amp; Car cleaning
Personalized itinerary conception 1
Walkie-Talkie rental - 1 per car 
EY coordinator staff on site 
Assistance car &amp; Mechanical assistance car 
Water - 1 per pax Including:
Cars delivery &amp; recovery to Nice 
Fuel - Half day price staring from</t>
  </si>
  <si>
    <t xml:space="preserve">entrance Prince Palace per person </t>
  </si>
  <si>
    <t xml:space="preserve">entrance Oceanographic Museum per person </t>
  </si>
  <si>
    <t xml:space="preserve">Discover the treasures of Monaco-Ville, the district known the world over as 'the Rock'.                                                                                             Admire the gleaming vintage automobiles at the Monaco Top Cars Collection, creating a bridge between past and present. </t>
  </si>
  <si>
    <t xml:space="preserve">entrance Casino of Monaco with audioguide per person </t>
  </si>
  <si>
    <t>visit for grps possible from 10am to 1pm</t>
  </si>
  <si>
    <t>option dinner: BOCCACCIO RESTAURANT (NICE) or similar</t>
  </si>
  <si>
    <t>option dinner: GALET RESTAURANT (NICE) or similar</t>
  </si>
  <si>
    <t>walking distance</t>
  </si>
  <si>
    <t xml:space="preserve"> FULL DAY SAINT PAUL DE VENCE &amp; GRASSE</t>
  </si>
  <si>
    <t>parking Villefranche</t>
  </si>
  <si>
    <t>Transfer from Nice city center (hotel) to   NICE Airport or train station/  or viceversa</t>
  </si>
  <si>
    <t>option: Scooter Discovery Tour</t>
  </si>
  <si>
    <t xml:space="preserve"> Min : 10 pax
Max : 30 pax</t>
  </si>
  <si>
    <t>option: Ebike Tour in Nice in Nice</t>
  </si>
  <si>
    <t>1 monitor for 12 persons maximum Minimum : 10 persons
Maximun : 120 persons</t>
  </si>
  <si>
    <t xml:space="preserve">SCOOTER DISCOVERY TOUR - based on 18 persons                Including : Event conception, organization, insurance &amp; authorizationScooter rental - 02 hours 30, coordination staff, Scooter for coordination staff                                                                    </t>
  </si>
  <si>
    <t>E-BIKE TOUR - based on 18 persons Including :
Event conception, organisation, authorizations &amp; insurance
E-bike professionnal instructor - half day disposal  E-bike pack rental including : E-Bike, helmet, backpack, water, cereal bar Material delivery</t>
  </si>
  <si>
    <t>Coordination of the event of site -  5 hours evening</t>
  </si>
  <si>
    <t>meeting  Full day                                                               
The study day package includes:
Plenary room rental
Morning coffee break (half-hour service)
Afternoon coffee break (half-hour service)
Lunch at the restaurant (3 courses, mineral water, and coffee)
The coffee break includes:
Coffee, tea, hot chocolate, hot and cold milk, mineral water Fruit juices (orange and grapefruit)
Sweet and savory treats</t>
  </si>
  <si>
    <t>Hotel Anantara 5*or similar</t>
  </si>
  <si>
    <t>Acer</t>
  </si>
  <si>
    <t>Shariq JTB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</si>
</sst>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00_);_(\$* \(#,##0.00\);_(\$* \-??_);_(@_)"/>
    <numFmt numFmtId="165" formatCode="_(* #,##0.00_);_(* \(#,##0.00\);_(* \-??_);_(@_)"/>
    <numFmt numFmtId="166" formatCode="_-* #,##0.00\ [$€-407]_-;\-* #,##0.00\ [$€-407]_-;_-* &quot;-&quot;??\ [$€-407]_-;_-@_-"/>
  </numFmts>
  <fonts count="50" x14ac:knownFonts="1">
    <font>
      <sz val="10"/>
      <name val="Arial"/>
    </font>
    <font>
      <sz val="10"/>
      <name val="Arial"/>
      <family val="2"/>
    </font>
    <font>
      <sz val="10"/>
      <name val="Verdana"/>
      <family val="2"/>
    </font>
    <font>
      <sz val="10"/>
      <name val="Arial"/>
      <family val="2"/>
    </font>
    <font>
      <sz val="10"/>
      <name val="Mangal"/>
      <family val="2"/>
    </font>
    <font>
      <b/>
      <strike/>
      <sz val="11"/>
      <name val="Arial"/>
      <family val="2"/>
    </font>
    <font>
      <u/>
      <sz val="10"/>
      <color theme="10"/>
      <name val="Arial"/>
      <family val="2"/>
    </font>
    <font>
      <sz val="11"/>
      <name val="Century Gothic"/>
      <family val="1"/>
    </font>
    <font>
      <sz val="10"/>
      <name val="Century Gothic"/>
      <family val="1"/>
    </font>
    <font>
      <b/>
      <sz val="11"/>
      <name val="Century Gothic"/>
      <family val="1"/>
    </font>
    <font>
      <b/>
      <sz val="18"/>
      <color theme="1"/>
      <name val="Century Gothic"/>
      <family val="1"/>
    </font>
    <font>
      <b/>
      <sz val="12"/>
      <name val="Century Gothic"/>
      <family val="1"/>
    </font>
    <font>
      <sz val="12"/>
      <color rgb="FFFF0000"/>
      <name val="Century Gothic"/>
      <family val="1"/>
    </font>
    <font>
      <b/>
      <u/>
      <sz val="12"/>
      <name val="Century Gothic"/>
      <family val="1"/>
    </font>
    <font>
      <sz val="11"/>
      <color rgb="FFFF0000"/>
      <name val="Century Gothic"/>
      <family val="1"/>
    </font>
    <font>
      <b/>
      <sz val="11"/>
      <color rgb="FF0070C0"/>
      <name val="Century Gothic"/>
      <family val="1"/>
    </font>
    <font>
      <b/>
      <sz val="12"/>
      <color theme="0" tint="-0.499984740745262"/>
      <name val="Century Gothic"/>
      <family val="1"/>
    </font>
    <font>
      <b/>
      <sz val="11"/>
      <color theme="0"/>
      <name val="Century Gothic"/>
      <family val="1"/>
    </font>
    <font>
      <i/>
      <sz val="11"/>
      <name val="Century Gothic"/>
      <family val="1"/>
    </font>
    <font>
      <sz val="9"/>
      <name val="Century Gothic"/>
      <family val="1"/>
    </font>
    <font>
      <sz val="9"/>
      <color rgb="FFFF0000"/>
      <name val="Century Gothic"/>
      <family val="1"/>
    </font>
    <font>
      <b/>
      <sz val="9"/>
      <name val="Century Gothic"/>
      <family val="1"/>
    </font>
    <font>
      <sz val="9"/>
      <name val="Century Gothic"/>
      <family val="2"/>
    </font>
    <font>
      <sz val="11"/>
      <name val="Century Gothic"/>
      <family val="2"/>
    </font>
    <font>
      <b/>
      <sz val="11"/>
      <name val="Century Gothic"/>
      <family val="2"/>
    </font>
    <font>
      <b/>
      <sz val="11"/>
      <color theme="0"/>
      <name val="Century Gothic"/>
      <family val="2"/>
    </font>
    <font>
      <b/>
      <sz val="9"/>
      <name val="Century Gothic"/>
      <family val="2"/>
    </font>
    <font>
      <sz val="9"/>
      <color rgb="FFFF0000"/>
      <name val="Century Gothic"/>
      <family val="2"/>
    </font>
    <font>
      <b/>
      <u/>
      <sz val="9"/>
      <name val="Century Gothic"/>
      <family val="2"/>
    </font>
    <font>
      <i/>
      <sz val="9"/>
      <name val="Century Gothic"/>
      <family val="2"/>
    </font>
    <font>
      <b/>
      <i/>
      <sz val="9"/>
      <color rgb="FFDE0000"/>
      <name val="Century Gothic"/>
      <family val="2"/>
    </font>
    <font>
      <sz val="11"/>
      <color rgb="FFFF0000"/>
      <name val="Century Gothic"/>
      <family val="2"/>
    </font>
    <font>
      <b/>
      <sz val="11"/>
      <color rgb="FFFF0000"/>
      <name val="Century Gothic"/>
      <family val="2"/>
    </font>
    <font>
      <i/>
      <sz val="11"/>
      <name val="Century Gothic"/>
      <family val="2"/>
    </font>
    <font>
      <b/>
      <sz val="11"/>
      <color theme="1"/>
      <name val="Century Gothic"/>
      <family val="2"/>
    </font>
    <font>
      <sz val="11"/>
      <color rgb="FF92D050"/>
      <name val="Century Gothic"/>
      <family val="2"/>
    </font>
    <font>
      <b/>
      <sz val="11"/>
      <color rgb="FF92D050"/>
      <name val="Century Gothic"/>
      <family val="2"/>
    </font>
    <font>
      <sz val="9"/>
      <color rgb="FF92D050"/>
      <name val="Century Gothic"/>
      <family val="1"/>
    </font>
    <font>
      <sz val="9"/>
      <color rgb="FF0070C0"/>
      <name val="Century Gothic"/>
      <family val="1"/>
    </font>
    <font>
      <sz val="10"/>
      <color theme="10"/>
      <name val="Century Gothic"/>
      <family val="1"/>
    </font>
    <font>
      <sz val="9"/>
      <color theme="1"/>
      <name val="Century Gothic"/>
      <family val="1"/>
    </font>
    <font>
      <u/>
      <sz val="10"/>
      <color theme="10"/>
      <name val="Century Gothic"/>
      <family val="1"/>
    </font>
    <font>
      <i/>
      <sz val="11"/>
      <name val="Century Gothic"/>
      <family val="2"/>
      <charset val="238"/>
    </font>
    <font>
      <i/>
      <sz val="9"/>
      <name val="Century Gothic"/>
      <family val="2"/>
      <charset val="238"/>
    </font>
    <font>
      <sz val="8"/>
      <name val="Century Gothic"/>
      <family val="2"/>
    </font>
    <font>
      <sz val="10"/>
      <name val="Arial"/>
      <family val="2"/>
      <charset val="238"/>
    </font>
    <font>
      <i/>
      <sz val="10"/>
      <name val="Arial"/>
      <family val="2"/>
    </font>
    <font>
      <i/>
      <sz val="10"/>
      <name val="Century Gothic"/>
      <family val="2"/>
      <charset val="238"/>
    </font>
    <font>
      <i/>
      <sz val="10"/>
      <name val="Century Gothic"/>
      <family val="2"/>
    </font>
    <font>
      <sz val="8"/>
      <color rgb="FF000000"/>
      <name val="Segoe UI"/>
      <charset val="1"/>
    </font>
  </fonts>
  <fills count="9">
    <fill>
      <patternFill patternType="none"/>
    </fill>
    <fill>
      <patternFill patternType="gray125"/>
    </fill>
    <fill>
      <patternFill patternType="solid">
        <fgColor rgb="FFFFF59B"/>
        <bgColor indexed="64"/>
      </patternFill>
    </fill>
    <fill>
      <patternFill patternType="solid">
        <fgColor rgb="FF575656"/>
        <bgColor indexed="64"/>
      </patternFill>
    </fill>
    <fill>
      <patternFill patternType="solid">
        <fgColor theme="0" tint="-0.249977111117893"/>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0" tint="-0.14999847407452621"/>
        <bgColor indexed="64"/>
      </patternFill>
    </fill>
  </fills>
  <borders count="16">
    <border>
      <left/>
      <right/>
      <top/>
      <bottom/>
      <diagonal/>
    </border>
    <border>
      <left/>
      <right/>
      <top/>
      <bottom style="thin">
        <color auto="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style="thin">
        <color auto="1"/>
      </right>
      <top/>
      <bottom/>
      <diagonal/>
    </border>
    <border>
      <left style="thin">
        <color indexed="64"/>
      </left>
      <right style="thin">
        <color indexed="64"/>
      </right>
      <top/>
      <bottom style="thin">
        <color indexed="64"/>
      </bottom>
      <diagonal/>
    </border>
  </borders>
  <cellStyleXfs count="16">
    <xf numFmtId="0" fontId="0" fillId="0" borderId="0"/>
    <xf numFmtId="44" fontId="1" fillId="0" borderId="0" applyFont="0" applyFill="0" applyBorder="0" applyAlignment="0" applyProtection="0"/>
    <xf numFmtId="44" fontId="3" fillId="0" borderId="0" applyFont="0" applyFill="0" applyBorder="0" applyAlignment="0" applyProtection="0"/>
    <xf numFmtId="44" fontId="2" fillId="0" borderId="0" applyFont="0" applyFill="0" applyBorder="0" applyAlignment="0" applyProtection="0"/>
    <xf numFmtId="0" fontId="1" fillId="0" borderId="0"/>
    <xf numFmtId="0" fontId="2" fillId="0" borderId="0"/>
    <xf numFmtId="44" fontId="1" fillId="0" borderId="0" applyFont="0" applyFill="0" applyBorder="0" applyAlignment="0" applyProtection="0"/>
    <xf numFmtId="0" fontId="1" fillId="0" borderId="0"/>
    <xf numFmtId="44" fontId="1" fillId="0" borderId="0" applyFont="0" applyFill="0" applyBorder="0" applyAlignment="0" applyProtection="0"/>
    <xf numFmtId="0" fontId="2" fillId="0" borderId="0"/>
    <xf numFmtId="0" fontId="2" fillId="0" borderId="0"/>
    <xf numFmtId="0" fontId="2" fillId="0" borderId="0"/>
    <xf numFmtId="164" fontId="4" fillId="0" borderId="0" applyFill="0" applyBorder="0" applyAlignment="0" applyProtection="0"/>
    <xf numFmtId="164" fontId="4" fillId="0" borderId="0" applyFill="0" applyBorder="0" applyAlignment="0" applyProtection="0"/>
    <xf numFmtId="0" fontId="6" fillId="0" borderId="0" applyNumberFormat="0" applyFill="0" applyBorder="0" applyAlignment="0" applyProtection="0"/>
    <xf numFmtId="0" fontId="45" fillId="0" borderId="0"/>
  </cellStyleXfs>
  <cellXfs count="336">
    <xf numFmtId="0" fontId="0" fillId="0" borderId="0" xfId="0"/>
    <xf numFmtId="0" fontId="8" fillId="0" borderId="0" xfId="0" applyFont="1"/>
    <xf numFmtId="0" fontId="7" fillId="0" borderId="0" xfId="0" applyFont="1"/>
    <xf numFmtId="0" fontId="7" fillId="0" borderId="0" xfId="0" applyFont="1" applyAlignment="1">
      <alignment horizontal="center"/>
    </xf>
    <xf numFmtId="0" fontId="7" fillId="0" borderId="0" xfId="1" applyNumberFormat="1" applyFont="1" applyFill="1" applyAlignment="1">
      <alignment horizontal="center" vertical="center"/>
    </xf>
    <xf numFmtId="0" fontId="7" fillId="0" borderId="0" xfId="1" applyNumberFormat="1" applyFont="1" applyAlignment="1">
      <alignment horizontal="center" vertical="center"/>
    </xf>
    <xf numFmtId="0" fontId="11" fillId="0" borderId="2" xfId="7" applyFont="1" applyBorder="1" applyAlignment="1" applyProtection="1">
      <alignment vertical="center" wrapText="1"/>
      <protection locked="0"/>
    </xf>
    <xf numFmtId="0" fontId="12" fillId="0" borderId="0" xfId="7" applyFont="1" applyAlignment="1" applyProtection="1">
      <alignment vertical="center" wrapText="1"/>
      <protection locked="0"/>
    </xf>
    <xf numFmtId="0" fontId="12" fillId="0" borderId="3" xfId="7" applyFont="1" applyBorder="1" applyAlignment="1" applyProtection="1">
      <alignment vertical="center" wrapText="1"/>
      <protection locked="0"/>
    </xf>
    <xf numFmtId="0" fontId="14" fillId="0" borderId="0" xfId="0" applyFont="1" applyAlignment="1">
      <alignment vertical="center" wrapText="1"/>
    </xf>
    <xf numFmtId="0" fontId="14" fillId="0" borderId="3" xfId="0" applyFont="1" applyBorder="1" applyAlignment="1">
      <alignment vertical="center" wrapText="1"/>
    </xf>
    <xf numFmtId="0" fontId="9" fillId="0" borderId="3" xfId="0" applyFont="1" applyBorder="1" applyAlignment="1">
      <alignment vertical="top" wrapText="1"/>
    </xf>
    <xf numFmtId="0" fontId="7" fillId="0" borderId="0" xfId="0" applyFont="1" applyAlignment="1">
      <alignment vertical="top"/>
    </xf>
    <xf numFmtId="0" fontId="15" fillId="0" borderId="4" xfId="0" applyFont="1" applyBorder="1" applyAlignment="1">
      <alignment vertical="top" wrapText="1"/>
    </xf>
    <xf numFmtId="0" fontId="15" fillId="0" borderId="0" xfId="0" applyFont="1" applyAlignment="1">
      <alignment vertical="top" wrapText="1"/>
    </xf>
    <xf numFmtId="0" fontId="16" fillId="0" borderId="0" xfId="0" applyFont="1"/>
    <xf numFmtId="0" fontId="7" fillId="0" borderId="0" xfId="1" applyNumberFormat="1" applyFont="1" applyBorder="1" applyAlignment="1">
      <alignment horizontal="center" vertical="center"/>
    </xf>
    <xf numFmtId="0" fontId="9" fillId="2" borderId="6" xfId="0" applyFont="1" applyFill="1" applyBorder="1" applyAlignment="1">
      <alignment horizontal="center" vertical="center"/>
    </xf>
    <xf numFmtId="0" fontId="9" fillId="2" borderId="6" xfId="1" applyNumberFormat="1" applyFont="1" applyFill="1" applyBorder="1" applyAlignment="1">
      <alignment horizontal="center" vertical="center"/>
    </xf>
    <xf numFmtId="0" fontId="8" fillId="0" borderId="0" xfId="0" applyFont="1" applyAlignment="1">
      <alignment vertical="center"/>
    </xf>
    <xf numFmtId="43" fontId="9" fillId="2" borderId="6" xfId="0" applyNumberFormat="1" applyFont="1" applyFill="1" applyBorder="1" applyAlignment="1">
      <alignment horizontal="center" vertical="center"/>
    </xf>
    <xf numFmtId="0" fontId="7" fillId="0" borderId="6" xfId="1" applyNumberFormat="1" applyFont="1" applyBorder="1" applyAlignment="1">
      <alignment horizontal="center" vertical="center"/>
    </xf>
    <xf numFmtId="0" fontId="7" fillId="0" borderId="13" xfId="1" applyNumberFormat="1" applyFont="1" applyBorder="1" applyAlignment="1">
      <alignment horizontal="center" vertical="center"/>
    </xf>
    <xf numFmtId="43" fontId="9" fillId="2" borderId="9" xfId="0" applyNumberFormat="1" applyFont="1" applyFill="1" applyBorder="1" applyAlignment="1">
      <alignment vertical="center" wrapText="1"/>
    </xf>
    <xf numFmtId="43" fontId="9" fillId="2" borderId="5" xfId="0" applyNumberFormat="1" applyFont="1" applyFill="1" applyBorder="1" applyAlignment="1">
      <alignment vertical="center" wrapText="1"/>
    </xf>
    <xf numFmtId="43" fontId="17" fillId="3" borderId="12" xfId="0" applyNumberFormat="1" applyFont="1" applyFill="1" applyBorder="1"/>
    <xf numFmtId="43" fontId="9" fillId="2" borderId="10" xfId="0" applyNumberFormat="1" applyFont="1" applyFill="1" applyBorder="1" applyAlignment="1">
      <alignment horizontal="center" vertical="center" wrapText="1"/>
    </xf>
    <xf numFmtId="0" fontId="9" fillId="2" borderId="11" xfId="0" applyFont="1" applyFill="1" applyBorder="1" applyAlignment="1">
      <alignment horizontal="center" vertical="center"/>
    </xf>
    <xf numFmtId="0" fontId="9" fillId="2" borderId="11" xfId="1" applyNumberFormat="1" applyFont="1" applyFill="1" applyBorder="1" applyAlignment="1">
      <alignment horizontal="center" vertical="center"/>
    </xf>
    <xf numFmtId="0" fontId="9" fillId="2" borderId="12" xfId="0" applyFont="1" applyFill="1" applyBorder="1" applyAlignment="1">
      <alignment horizontal="center" vertical="center"/>
    </xf>
    <xf numFmtId="0" fontId="18" fillId="4" borderId="1" xfId="8" applyNumberFormat="1" applyFont="1" applyFill="1" applyBorder="1" applyAlignment="1">
      <alignment horizontal="center"/>
    </xf>
    <xf numFmtId="0" fontId="7" fillId="4" borderId="1" xfId="1" applyNumberFormat="1" applyFont="1" applyFill="1" applyBorder="1" applyAlignment="1">
      <alignment horizontal="center" vertical="center"/>
    </xf>
    <xf numFmtId="44" fontId="7" fillId="4" borderId="5" xfId="8" applyFont="1" applyFill="1" applyBorder="1"/>
    <xf numFmtId="0" fontId="7" fillId="4" borderId="8" xfId="8" applyNumberFormat="1" applyFont="1" applyFill="1" applyBorder="1" applyAlignment="1">
      <alignment horizontal="center" vertical="center" wrapText="1"/>
    </xf>
    <xf numFmtId="0" fontId="9" fillId="4" borderId="8" xfId="1" applyNumberFormat="1" applyFont="1" applyFill="1" applyBorder="1" applyAlignment="1">
      <alignment horizontal="center" vertical="center" wrapText="1"/>
    </xf>
    <xf numFmtId="44" fontId="9" fillId="4" borderId="9" xfId="0" applyNumberFormat="1" applyFont="1" applyFill="1" applyBorder="1" applyAlignment="1">
      <alignment horizontal="left" vertical="center" wrapText="1"/>
    </xf>
    <xf numFmtId="0" fontId="7" fillId="2" borderId="8" xfId="8" applyNumberFormat="1" applyFont="1" applyFill="1" applyBorder="1" applyAlignment="1">
      <alignment horizontal="center" vertical="center" wrapText="1"/>
    </xf>
    <xf numFmtId="0" fontId="9" fillId="2" borderId="8" xfId="1" applyNumberFormat="1" applyFont="1" applyFill="1" applyBorder="1" applyAlignment="1">
      <alignment horizontal="center" vertical="center" wrapText="1"/>
    </xf>
    <xf numFmtId="44" fontId="9" fillId="2" borderId="9" xfId="0" applyNumberFormat="1" applyFont="1" applyFill="1" applyBorder="1" applyAlignment="1">
      <alignment horizontal="left" vertical="center" wrapText="1"/>
    </xf>
    <xf numFmtId="0" fontId="18" fillId="2" borderId="1" xfId="8" applyNumberFormat="1" applyFont="1" applyFill="1" applyBorder="1" applyAlignment="1">
      <alignment horizontal="center"/>
    </xf>
    <xf numFmtId="0" fontId="7" fillId="2" borderId="1" xfId="1" applyNumberFormat="1" applyFont="1" applyFill="1" applyBorder="1" applyAlignment="1">
      <alignment horizontal="center" vertical="center"/>
    </xf>
    <xf numFmtId="44" fontId="7" fillId="2" borderId="5" xfId="8" applyFont="1" applyFill="1" applyBorder="1"/>
    <xf numFmtId="44" fontId="9" fillId="0" borderId="9" xfId="0" applyNumberFormat="1" applyFont="1" applyBorder="1" applyAlignment="1">
      <alignment horizontal="left" vertical="center" wrapText="1"/>
    </xf>
    <xf numFmtId="44" fontId="7" fillId="0" borderId="5" xfId="8" applyFont="1" applyFill="1" applyBorder="1"/>
    <xf numFmtId="0" fontId="19" fillId="0" borderId="0" xfId="0" applyFont="1" applyAlignment="1">
      <alignment vertical="top" wrapText="1"/>
    </xf>
    <xf numFmtId="0" fontId="20" fillId="0" borderId="0" xfId="0" applyFont="1" applyAlignment="1">
      <alignment vertical="top" wrapText="1"/>
    </xf>
    <xf numFmtId="0" fontId="19" fillId="0" borderId="0" xfId="0" applyFont="1"/>
    <xf numFmtId="0" fontId="21" fillId="0" borderId="0" xfId="0" applyFont="1" applyAlignment="1">
      <alignment vertical="top" wrapText="1"/>
    </xf>
    <xf numFmtId="0" fontId="8" fillId="6" borderId="0" xfId="0" applyFont="1" applyFill="1" applyAlignment="1">
      <alignment horizontal="center"/>
    </xf>
    <xf numFmtId="4" fontId="7" fillId="0" borderId="0" xfId="0" applyNumberFormat="1" applyFont="1"/>
    <xf numFmtId="4" fontId="15" fillId="0" borderId="1" xfId="0" applyNumberFormat="1" applyFont="1" applyBorder="1" applyAlignment="1">
      <alignment vertical="top" wrapText="1"/>
    </xf>
    <xf numFmtId="4" fontId="9" fillId="2" borderId="11" xfId="0" applyNumberFormat="1" applyFont="1" applyFill="1" applyBorder="1" applyAlignment="1">
      <alignment horizontal="right" vertical="center" wrapText="1"/>
    </xf>
    <xf numFmtId="43" fontId="9" fillId="4" borderId="7" xfId="0" applyNumberFormat="1" applyFont="1" applyFill="1" applyBorder="1" applyAlignment="1">
      <alignment horizontal="left" vertical="center" wrapText="1"/>
    </xf>
    <xf numFmtId="43" fontId="9" fillId="4" borderId="4" xfId="0" applyNumberFormat="1" applyFont="1" applyFill="1" applyBorder="1" applyAlignment="1">
      <alignment horizontal="left" vertical="center" wrapText="1"/>
    </xf>
    <xf numFmtId="4" fontId="9" fillId="4" borderId="1" xfId="8" applyNumberFormat="1" applyFont="1" applyFill="1" applyBorder="1" applyAlignment="1">
      <alignment horizontal="right" vertical="center" wrapText="1"/>
    </xf>
    <xf numFmtId="4" fontId="9" fillId="4" borderId="8" xfId="8" applyNumberFormat="1" applyFont="1" applyFill="1" applyBorder="1" applyAlignment="1">
      <alignment horizontal="right" vertical="center" wrapText="1"/>
    </xf>
    <xf numFmtId="0" fontId="9" fillId="2" borderId="6" xfId="0" applyFont="1" applyFill="1" applyBorder="1" applyAlignment="1">
      <alignment horizontal="left" vertical="center"/>
    </xf>
    <xf numFmtId="4" fontId="9" fillId="2" borderId="8" xfId="0" applyNumberFormat="1" applyFont="1" applyFill="1" applyBorder="1" applyAlignment="1">
      <alignment horizontal="right" vertical="center" wrapText="1"/>
    </xf>
    <xf numFmtId="4" fontId="9" fillId="2" borderId="1" xfId="0" applyNumberFormat="1" applyFont="1" applyFill="1" applyBorder="1" applyAlignment="1">
      <alignment horizontal="right" vertical="center" wrapText="1"/>
    </xf>
    <xf numFmtId="43" fontId="9" fillId="0" borderId="7" xfId="0" applyNumberFormat="1" applyFont="1" applyBorder="1" applyAlignment="1">
      <alignment horizontal="left" vertical="center" wrapText="1"/>
    </xf>
    <xf numFmtId="43" fontId="9" fillId="0" borderId="4" xfId="0" applyNumberFormat="1" applyFont="1" applyBorder="1" applyAlignment="1">
      <alignment horizontal="left" vertical="center" wrapText="1"/>
    </xf>
    <xf numFmtId="4" fontId="9" fillId="0" borderId="8" xfId="8" applyNumberFormat="1" applyFont="1" applyFill="1" applyBorder="1" applyAlignment="1">
      <alignment horizontal="right" vertical="center" wrapText="1"/>
    </xf>
    <xf numFmtId="4" fontId="9" fillId="0" borderId="1" xfId="8" applyNumberFormat="1" applyFont="1" applyFill="1" applyBorder="1" applyAlignment="1">
      <alignment horizontal="right" vertical="center" wrapText="1"/>
    </xf>
    <xf numFmtId="0" fontId="7" fillId="0" borderId="8" xfId="8" applyNumberFormat="1" applyFont="1" applyFill="1" applyBorder="1" applyAlignment="1">
      <alignment horizontal="center" vertical="center" wrapText="1"/>
    </xf>
    <xf numFmtId="0" fontId="7" fillId="0" borderId="1" xfId="8" applyNumberFormat="1" applyFont="1" applyFill="1" applyBorder="1" applyAlignment="1">
      <alignment horizontal="center" vertical="center" wrapText="1"/>
    </xf>
    <xf numFmtId="43" fontId="9" fillId="2" borderId="7" xfId="0" applyNumberFormat="1" applyFont="1" applyFill="1" applyBorder="1" applyAlignment="1">
      <alignment horizontal="left" vertical="center" wrapText="1"/>
    </xf>
    <xf numFmtId="43" fontId="9" fillId="2" borderId="4" xfId="0" applyNumberFormat="1" applyFont="1" applyFill="1" applyBorder="1" applyAlignment="1">
      <alignment horizontal="left" vertical="center" wrapText="1"/>
    </xf>
    <xf numFmtId="4" fontId="9" fillId="2" borderId="8" xfId="8" applyNumberFormat="1" applyFont="1" applyFill="1" applyBorder="1" applyAlignment="1">
      <alignment horizontal="right" vertical="center" wrapText="1"/>
    </xf>
    <xf numFmtId="4" fontId="9" fillId="2" borderId="1" xfId="8" applyNumberFormat="1" applyFont="1" applyFill="1" applyBorder="1" applyAlignment="1">
      <alignment horizontal="right" vertical="center" wrapText="1"/>
    </xf>
    <xf numFmtId="0" fontId="12" fillId="0" borderId="0" xfId="7" applyFont="1" applyAlignment="1" applyProtection="1">
      <alignment horizontal="left" vertical="center"/>
      <protection locked="0"/>
    </xf>
    <xf numFmtId="0" fontId="12" fillId="0" borderId="3" xfId="7" applyFont="1" applyBorder="1" applyAlignment="1" applyProtection="1">
      <alignment horizontal="left" vertical="center"/>
      <protection locked="0"/>
    </xf>
    <xf numFmtId="4" fontId="9" fillId="2" borderId="6" xfId="0" applyNumberFormat="1" applyFont="1" applyFill="1" applyBorder="1" applyAlignment="1">
      <alignment horizontal="right" vertical="center" wrapText="1"/>
    </xf>
    <xf numFmtId="0" fontId="9" fillId="0" borderId="2" xfId="7" applyFont="1" applyBorder="1" applyAlignment="1" applyProtection="1">
      <alignment vertical="center" wrapText="1"/>
      <protection locked="0"/>
    </xf>
    <xf numFmtId="0" fontId="9" fillId="0" borderId="0" xfId="7" applyFont="1" applyAlignment="1" applyProtection="1">
      <alignment vertical="center" wrapText="1"/>
      <protection locked="0"/>
    </xf>
    <xf numFmtId="0" fontId="9" fillId="0" borderId="3" xfId="7" applyFont="1" applyBorder="1" applyAlignment="1" applyProtection="1">
      <alignment vertical="center" wrapText="1"/>
      <protection locked="0"/>
    </xf>
    <xf numFmtId="0" fontId="9" fillId="0" borderId="2" xfId="0" applyFont="1" applyBorder="1" applyAlignment="1">
      <alignment vertical="top" wrapText="1"/>
    </xf>
    <xf numFmtId="0" fontId="9" fillId="0" borderId="0" xfId="0" applyFont="1" applyAlignment="1">
      <alignment vertical="top" wrapText="1"/>
    </xf>
    <xf numFmtId="0" fontId="7" fillId="0" borderId="0" xfId="0" applyFont="1" applyAlignment="1">
      <alignment vertical="top" wrapText="1"/>
    </xf>
    <xf numFmtId="0" fontId="7" fillId="0" borderId="3" xfId="0" applyFont="1" applyBorder="1" applyAlignment="1">
      <alignment vertical="top" wrapText="1"/>
    </xf>
    <xf numFmtId="0" fontId="12" fillId="0" borderId="0" xfId="7" applyFont="1" applyAlignment="1" applyProtection="1">
      <alignment horizontal="left" vertical="center" wrapText="1"/>
      <protection locked="0"/>
    </xf>
    <xf numFmtId="0" fontId="12" fillId="0" borderId="3" xfId="7" applyFont="1" applyBorder="1" applyAlignment="1" applyProtection="1">
      <alignment horizontal="left" vertical="center" wrapText="1"/>
      <protection locked="0"/>
    </xf>
    <xf numFmtId="43" fontId="7" fillId="4" borderId="11" xfId="0" applyNumberFormat="1" applyFont="1" applyFill="1" applyBorder="1"/>
    <xf numFmtId="2" fontId="7" fillId="4" borderId="11" xfId="0" applyNumberFormat="1" applyFont="1" applyFill="1" applyBorder="1"/>
    <xf numFmtId="43" fontId="7" fillId="4" borderId="12" xfId="0" applyNumberFormat="1" applyFont="1" applyFill="1" applyBorder="1"/>
    <xf numFmtId="0" fontId="7" fillId="0" borderId="0" xfId="0" applyFont="1" applyAlignment="1">
      <alignment vertical="center" wrapText="1"/>
    </xf>
    <xf numFmtId="0" fontId="7" fillId="0" borderId="3" xfId="0" applyFont="1" applyBorder="1" applyAlignment="1">
      <alignment vertical="center" wrapText="1"/>
    </xf>
    <xf numFmtId="4" fontId="23" fillId="5" borderId="7" xfId="0" applyNumberFormat="1" applyFont="1" applyFill="1" applyBorder="1" applyAlignment="1">
      <alignment horizontal="right" vertical="center"/>
    </xf>
    <xf numFmtId="4" fontId="23" fillId="5" borderId="13" xfId="0" applyNumberFormat="1" applyFont="1" applyFill="1" applyBorder="1" applyAlignment="1">
      <alignment horizontal="right" vertical="center"/>
    </xf>
    <xf numFmtId="4" fontId="23" fillId="5" borderId="6" xfId="0" applyNumberFormat="1" applyFont="1" applyFill="1" applyBorder="1" applyAlignment="1">
      <alignment horizontal="right" vertical="center"/>
    </xf>
    <xf numFmtId="0" fontId="23" fillId="0" borderId="0" xfId="0" applyFont="1"/>
    <xf numFmtId="0" fontId="22" fillId="0" borderId="0" xfId="0" applyFont="1" applyAlignment="1">
      <alignment horizontal="justify" vertical="top" wrapText="1"/>
    </xf>
    <xf numFmtId="4" fontId="22" fillId="0" borderId="0" xfId="0" applyNumberFormat="1" applyFont="1" applyAlignment="1">
      <alignment horizontal="justify" vertical="top" wrapText="1"/>
    </xf>
    <xf numFmtId="0" fontId="27" fillId="0" borderId="0" xfId="0" applyFont="1" applyAlignment="1">
      <alignment horizontal="justify" vertical="top" wrapText="1"/>
    </xf>
    <xf numFmtId="0" fontId="22" fillId="0" borderId="0" xfId="1" applyNumberFormat="1" applyFont="1" applyBorder="1" applyAlignment="1">
      <alignment horizontal="center" vertical="center"/>
    </xf>
    <xf numFmtId="0" fontId="22" fillId="0" borderId="0" xfId="0" applyFont="1" applyAlignment="1">
      <alignment horizontal="left" vertical="top" indent="2"/>
    </xf>
    <xf numFmtId="2" fontId="24" fillId="2" borderId="6" xfId="0" applyNumberFormat="1" applyFont="1" applyFill="1" applyBorder="1" applyAlignment="1">
      <alignment horizontal="center" vertical="center" wrapText="1"/>
    </xf>
    <xf numFmtId="2" fontId="23" fillId="0" borderId="12" xfId="0" applyNumberFormat="1" applyFont="1" applyBorder="1"/>
    <xf numFmtId="0" fontId="23" fillId="0" borderId="6" xfId="1" applyNumberFormat="1" applyFont="1" applyBorder="1" applyAlignment="1">
      <alignment horizontal="center" vertical="center"/>
    </xf>
    <xf numFmtId="43" fontId="23" fillId="4" borderId="12" xfId="0" applyNumberFormat="1" applyFont="1" applyFill="1" applyBorder="1"/>
    <xf numFmtId="0" fontId="23" fillId="0" borderId="0" xfId="1" applyNumberFormat="1" applyFont="1" applyAlignment="1">
      <alignment horizontal="center" vertical="center"/>
    </xf>
    <xf numFmtId="0" fontId="23" fillId="0" borderId="0" xfId="0" applyFont="1" applyAlignment="1">
      <alignment horizontal="center"/>
    </xf>
    <xf numFmtId="0" fontId="31" fillId="0" borderId="0" xfId="0" applyFont="1" applyAlignment="1">
      <alignment horizontal="center"/>
    </xf>
    <xf numFmtId="0" fontId="31" fillId="0" borderId="0" xfId="0" applyFont="1"/>
    <xf numFmtId="0" fontId="24" fillId="0" borderId="0" xfId="0" applyFont="1" applyAlignment="1">
      <alignment vertical="top" wrapText="1"/>
    </xf>
    <xf numFmtId="0" fontId="32" fillId="2" borderId="6" xfId="0" applyFont="1" applyFill="1" applyBorder="1" applyAlignment="1">
      <alignment horizontal="center" vertical="center"/>
    </xf>
    <xf numFmtId="9" fontId="31" fillId="7" borderId="6" xfId="0" applyNumberFormat="1" applyFont="1" applyFill="1" applyBorder="1"/>
    <xf numFmtId="0" fontId="32" fillId="2" borderId="9" xfId="0" applyFont="1" applyFill="1" applyBorder="1" applyAlignment="1">
      <alignment vertical="center" wrapText="1"/>
    </xf>
    <xf numFmtId="0" fontId="32" fillId="2" borderId="8" xfId="0" applyFont="1" applyFill="1" applyBorder="1" applyAlignment="1">
      <alignment vertical="center" wrapText="1"/>
    </xf>
    <xf numFmtId="0" fontId="32" fillId="2" borderId="5" xfId="0" applyFont="1" applyFill="1" applyBorder="1" applyAlignment="1">
      <alignment vertical="center" wrapText="1"/>
    </xf>
    <xf numFmtId="0" fontId="32" fillId="2" borderId="1" xfId="0" applyFont="1" applyFill="1" applyBorder="1" applyAlignment="1">
      <alignment vertical="center" wrapText="1"/>
    </xf>
    <xf numFmtId="0" fontId="32" fillId="2" borderId="15" xfId="0" applyFont="1" applyFill="1" applyBorder="1" applyAlignment="1">
      <alignment vertical="center" wrapText="1"/>
    </xf>
    <xf numFmtId="0" fontId="32" fillId="3" borderId="12" xfId="0" applyFont="1" applyFill="1" applyBorder="1"/>
    <xf numFmtId="43" fontId="25" fillId="3" borderId="12" xfId="0" applyNumberFormat="1" applyFont="1" applyFill="1" applyBorder="1"/>
    <xf numFmtId="0" fontId="32" fillId="3" borderId="6" xfId="0" applyFont="1" applyFill="1" applyBorder="1"/>
    <xf numFmtId="0" fontId="31" fillId="4" borderId="12" xfId="0" applyFont="1" applyFill="1" applyBorder="1"/>
    <xf numFmtId="0" fontId="31" fillId="4" borderId="6" xfId="0" applyFont="1" applyFill="1" applyBorder="1"/>
    <xf numFmtId="0" fontId="32" fillId="2" borderId="12" xfId="0" applyFont="1" applyFill="1" applyBorder="1" applyAlignment="1">
      <alignment horizontal="center" vertical="center"/>
    </xf>
    <xf numFmtId="0" fontId="31" fillId="4" borderId="5" xfId="8" applyNumberFormat="1" applyFont="1" applyFill="1" applyBorder="1"/>
    <xf numFmtId="0" fontId="32" fillId="4" borderId="9" xfId="0" applyFont="1" applyFill="1" applyBorder="1" applyAlignment="1">
      <alignment horizontal="left" vertical="center" wrapText="1"/>
    </xf>
    <xf numFmtId="0" fontId="32" fillId="4" borderId="8" xfId="0" applyFont="1" applyFill="1" applyBorder="1" applyAlignment="1">
      <alignment horizontal="left" vertical="center" wrapText="1"/>
    </xf>
    <xf numFmtId="0" fontId="31" fillId="4" borderId="1" xfId="8" applyNumberFormat="1" applyFont="1" applyFill="1" applyBorder="1"/>
    <xf numFmtId="0" fontId="32" fillId="2" borderId="9" xfId="0" applyFont="1" applyFill="1" applyBorder="1" applyAlignment="1">
      <alignment horizontal="left" vertical="center" wrapText="1"/>
    </xf>
    <xf numFmtId="0" fontId="32" fillId="2" borderId="8" xfId="0" applyFont="1" applyFill="1" applyBorder="1" applyAlignment="1">
      <alignment horizontal="left" vertical="center" wrapText="1"/>
    </xf>
    <xf numFmtId="0" fontId="31" fillId="2" borderId="5" xfId="8" applyNumberFormat="1" applyFont="1" applyFill="1" applyBorder="1"/>
    <xf numFmtId="0" fontId="31" fillId="2" borderId="1" xfId="8" applyNumberFormat="1" applyFont="1" applyFill="1" applyBorder="1"/>
    <xf numFmtId="0" fontId="32" fillId="0" borderId="9" xfId="0" applyFont="1" applyBorder="1" applyAlignment="1">
      <alignment horizontal="left" vertical="center" wrapText="1"/>
    </xf>
    <xf numFmtId="0" fontId="32" fillId="0" borderId="8" xfId="0" applyFont="1" applyBorder="1" applyAlignment="1">
      <alignment horizontal="left" vertical="center" wrapText="1"/>
    </xf>
    <xf numFmtId="0" fontId="31" fillId="0" borderId="5" xfId="8" applyNumberFormat="1" applyFont="1" applyFill="1" applyBorder="1"/>
    <xf numFmtId="0" fontId="31" fillId="0" borderId="1" xfId="8" applyNumberFormat="1" applyFont="1" applyFill="1" applyBorder="1"/>
    <xf numFmtId="0" fontId="35" fillId="0" borderId="0" xfId="0" applyFont="1" applyAlignment="1">
      <alignment vertical="top" wrapText="1"/>
    </xf>
    <xf numFmtId="0" fontId="23" fillId="0" borderId="0" xfId="0" applyFont="1" applyAlignment="1">
      <alignment vertical="top" wrapText="1"/>
    </xf>
    <xf numFmtId="0" fontId="23" fillId="0" borderId="0" xfId="0" applyFont="1" applyAlignment="1">
      <alignment horizontal="justify" vertical="top" wrapText="1"/>
    </xf>
    <xf numFmtId="0" fontId="35" fillId="0" borderId="0" xfId="0" applyFont="1"/>
    <xf numFmtId="0" fontId="36" fillId="0" borderId="0" xfId="0" applyFont="1" applyAlignment="1">
      <alignment vertical="top" wrapText="1"/>
    </xf>
    <xf numFmtId="2" fontId="23" fillId="0" borderId="6" xfId="0" applyNumberFormat="1" applyFont="1" applyBorder="1"/>
    <xf numFmtId="2" fontId="24" fillId="2" borderId="10" xfId="0" applyNumberFormat="1" applyFont="1" applyFill="1" applyBorder="1" applyAlignment="1">
      <alignment horizontal="center" vertical="center" wrapText="1"/>
    </xf>
    <xf numFmtId="4" fontId="24" fillId="2" borderId="13" xfId="0" applyNumberFormat="1" applyFont="1" applyFill="1" applyBorder="1" applyAlignment="1">
      <alignment horizontal="right" vertical="center" wrapText="1"/>
    </xf>
    <xf numFmtId="4" fontId="24" fillId="2" borderId="13" xfId="8" applyNumberFormat="1" applyFont="1" applyFill="1" applyBorder="1" applyAlignment="1">
      <alignment horizontal="right" vertical="center" wrapText="1"/>
    </xf>
    <xf numFmtId="4" fontId="24" fillId="2" borderId="6" xfId="0" applyNumberFormat="1" applyFont="1" applyFill="1" applyBorder="1" applyAlignment="1">
      <alignment horizontal="right" vertical="center" wrapText="1"/>
    </xf>
    <xf numFmtId="4" fontId="24" fillId="4" borderId="13" xfId="8" applyNumberFormat="1" applyFont="1" applyFill="1" applyBorder="1" applyAlignment="1">
      <alignment horizontal="right" vertical="center" wrapText="1"/>
    </xf>
    <xf numFmtId="0" fontId="23" fillId="4" borderId="14" xfId="8" applyNumberFormat="1" applyFont="1" applyFill="1" applyBorder="1"/>
    <xf numFmtId="0" fontId="23" fillId="2" borderId="14" xfId="8" applyNumberFormat="1" applyFont="1" applyFill="1" applyBorder="1"/>
    <xf numFmtId="4" fontId="24" fillId="0" borderId="13" xfId="8" applyNumberFormat="1" applyFont="1" applyFill="1" applyBorder="1" applyAlignment="1">
      <alignment horizontal="right" vertical="center" wrapText="1"/>
    </xf>
    <xf numFmtId="0" fontId="23" fillId="0" borderId="15" xfId="8" applyNumberFormat="1" applyFont="1" applyFill="1" applyBorder="1"/>
    <xf numFmtId="2" fontId="23" fillId="0" borderId="13" xfId="0" applyNumberFormat="1" applyFont="1" applyBorder="1"/>
    <xf numFmtId="0" fontId="10" fillId="2" borderId="7" xfId="0" applyFont="1" applyFill="1" applyBorder="1" applyAlignment="1">
      <alignment vertical="center"/>
    </xf>
    <xf numFmtId="0" fontId="10" fillId="2" borderId="8" xfId="0" applyFont="1" applyFill="1" applyBorder="1" applyAlignment="1">
      <alignment vertical="center"/>
    </xf>
    <xf numFmtId="0" fontId="27" fillId="0" borderId="0" xfId="0" applyFont="1" applyAlignment="1">
      <alignment horizontal="left" vertical="top" wrapText="1"/>
    </xf>
    <xf numFmtId="0" fontId="8" fillId="0" borderId="0" xfId="0" applyFont="1" applyAlignment="1">
      <alignment horizontal="left" vertical="center" indent="1"/>
    </xf>
    <xf numFmtId="0" fontId="28" fillId="0" borderId="0" xfId="0" applyFont="1" applyAlignment="1">
      <alignment horizontal="justify" vertical="top" wrapText="1"/>
    </xf>
    <xf numFmtId="0" fontId="19" fillId="5" borderId="0" xfId="0" applyFont="1" applyFill="1" applyAlignment="1">
      <alignment vertical="top" wrapText="1"/>
    </xf>
    <xf numFmtId="0" fontId="29" fillId="0" borderId="0" xfId="0" applyFont="1" applyAlignment="1">
      <alignment horizontal="justify" vertical="top" wrapText="1"/>
    </xf>
    <xf numFmtId="4" fontId="29" fillId="0" borderId="0" xfId="0" applyNumberFormat="1" applyFont="1" applyAlignment="1">
      <alignment horizontal="justify" vertical="top" wrapText="1"/>
    </xf>
    <xf numFmtId="0" fontId="33" fillId="0" borderId="0" xfId="0" applyFont="1" applyAlignment="1">
      <alignment horizontal="justify" vertical="top" wrapText="1"/>
    </xf>
    <xf numFmtId="0" fontId="26" fillId="0" borderId="0" xfId="0" applyFont="1" applyAlignment="1">
      <alignment horizontal="left" vertical="top" wrapText="1"/>
    </xf>
    <xf numFmtId="0" fontId="23" fillId="0" borderId="0" xfId="0" applyFont="1" applyAlignment="1">
      <alignment horizontal="left" vertical="top" indent="2"/>
    </xf>
    <xf numFmtId="0" fontId="26" fillId="0" borderId="0" xfId="0" applyFont="1" applyAlignment="1">
      <alignment horizontal="justify" vertical="top" wrapText="1"/>
    </xf>
    <xf numFmtId="0" fontId="28" fillId="0" borderId="0" xfId="0" applyFont="1" applyAlignment="1">
      <alignment vertical="center"/>
    </xf>
    <xf numFmtId="0" fontId="7" fillId="0" borderId="0" xfId="0" applyFont="1" applyAlignment="1">
      <alignment horizontal="center" vertical="center"/>
    </xf>
    <xf numFmtId="4" fontId="7" fillId="0" borderId="0" xfId="0" applyNumberFormat="1" applyFont="1" applyAlignment="1">
      <alignment vertical="center"/>
    </xf>
    <xf numFmtId="0" fontId="7" fillId="0" borderId="0" xfId="0" applyFont="1" applyAlignment="1">
      <alignment vertical="center"/>
    </xf>
    <xf numFmtId="0" fontId="23" fillId="0" borderId="0" xfId="0" applyFont="1" applyAlignment="1">
      <alignment vertical="center"/>
    </xf>
    <xf numFmtId="0" fontId="22" fillId="0" borderId="0" xfId="0" applyFont="1" applyAlignment="1">
      <alignment horizontal="left" vertical="top" wrapText="1"/>
    </xf>
    <xf numFmtId="0" fontId="27" fillId="0" borderId="0" xfId="0" applyFont="1" applyAlignment="1">
      <alignment horizontal="left" vertical="center" wrapText="1"/>
    </xf>
    <xf numFmtId="0" fontId="28" fillId="0" borderId="0" xfId="0" applyFont="1"/>
    <xf numFmtId="0" fontId="22" fillId="0" borderId="0" xfId="0" applyFont="1" applyAlignment="1">
      <alignment horizontal="center"/>
    </xf>
    <xf numFmtId="4" fontId="22" fillId="0" borderId="0" xfId="0" applyNumberFormat="1" applyFont="1"/>
    <xf numFmtId="0" fontId="22" fillId="0" borderId="0" xfId="0" applyFont="1"/>
    <xf numFmtId="0" fontId="30" fillId="0" borderId="0" xfId="0" applyFont="1"/>
    <xf numFmtId="4" fontId="26" fillId="0" borderId="0" xfId="0" applyNumberFormat="1" applyFont="1" applyAlignment="1">
      <alignment horizontal="justify" vertical="top" wrapText="1"/>
    </xf>
    <xf numFmtId="0" fontId="24" fillId="0" borderId="0" xfId="0" applyFont="1" applyAlignment="1">
      <alignment horizontal="justify" vertical="top" wrapText="1"/>
    </xf>
    <xf numFmtId="0" fontId="26" fillId="0" borderId="0" xfId="0" applyFont="1" applyAlignment="1">
      <alignment vertical="top" wrapText="1"/>
    </xf>
    <xf numFmtId="4" fontId="15" fillId="0" borderId="5" xfId="0" applyNumberFormat="1" applyFont="1" applyBorder="1" applyAlignment="1">
      <alignment vertical="top" wrapText="1"/>
    </xf>
    <xf numFmtId="0" fontId="8" fillId="5" borderId="0" xfId="0" applyFont="1" applyFill="1"/>
    <xf numFmtId="0" fontId="8" fillId="6" borderId="0" xfId="0" applyFont="1" applyFill="1" applyAlignment="1">
      <alignment horizontal="center" vertical="center"/>
    </xf>
    <xf numFmtId="165" fontId="7" fillId="0" borderId="6" xfId="0" applyNumberFormat="1" applyFont="1" applyBorder="1" applyAlignment="1">
      <alignment horizontal="left" vertical="center" indent="1"/>
    </xf>
    <xf numFmtId="0" fontId="7" fillId="0" borderId="0" xfId="0" applyFont="1" applyAlignment="1">
      <alignment horizontal="right"/>
    </xf>
    <xf numFmtId="4" fontId="7" fillId="0" borderId="0" xfId="0" applyNumberFormat="1" applyFont="1" applyAlignment="1">
      <alignment horizontal="right"/>
    </xf>
    <xf numFmtId="4" fontId="15" fillId="0" borderId="1" xfId="0" applyNumberFormat="1" applyFont="1" applyBorder="1" applyAlignment="1">
      <alignment horizontal="right" vertical="top" wrapText="1"/>
    </xf>
    <xf numFmtId="4" fontId="15" fillId="0" borderId="0" xfId="0" applyNumberFormat="1" applyFont="1" applyAlignment="1">
      <alignment horizontal="right" vertical="top" wrapText="1"/>
    </xf>
    <xf numFmtId="4" fontId="9" fillId="2" borderId="6" xfId="0" applyNumberFormat="1" applyFont="1" applyFill="1" applyBorder="1" applyAlignment="1">
      <alignment horizontal="right" vertical="center"/>
    </xf>
    <xf numFmtId="4" fontId="17" fillId="3" borderId="11" xfId="0" applyNumberFormat="1" applyFont="1" applyFill="1" applyBorder="1" applyAlignment="1">
      <alignment horizontal="right"/>
    </xf>
    <xf numFmtId="4" fontId="7" fillId="4" borderId="8" xfId="8" applyNumberFormat="1" applyFont="1" applyFill="1" applyBorder="1" applyAlignment="1">
      <alignment horizontal="right" vertical="center" wrapText="1"/>
    </xf>
    <xf numFmtId="4" fontId="18" fillId="4" borderId="1" xfId="8" applyNumberFormat="1" applyFont="1" applyFill="1" applyBorder="1" applyAlignment="1">
      <alignment horizontal="right"/>
    </xf>
    <xf numFmtId="4" fontId="7" fillId="2" borderId="8" xfId="8" applyNumberFormat="1" applyFont="1" applyFill="1" applyBorder="1" applyAlignment="1">
      <alignment horizontal="right" vertical="center" wrapText="1"/>
    </xf>
    <xf numFmtId="4" fontId="18" fillId="2" borderId="1" xfId="8" applyNumberFormat="1" applyFont="1" applyFill="1" applyBorder="1" applyAlignment="1">
      <alignment horizontal="right"/>
    </xf>
    <xf numFmtId="4" fontId="7" fillId="0" borderId="1" xfId="8" applyNumberFormat="1" applyFont="1" applyFill="1" applyBorder="1" applyAlignment="1">
      <alignment horizontal="right" vertical="center" wrapText="1"/>
    </xf>
    <xf numFmtId="0" fontId="15" fillId="0" borderId="1" xfId="0" applyFont="1" applyBorder="1" applyAlignment="1">
      <alignment horizontal="center" vertical="top" wrapText="1"/>
    </xf>
    <xf numFmtId="0" fontId="15" fillId="0" borderId="0" xfId="0" applyFont="1" applyAlignment="1">
      <alignment horizontal="center" vertical="top" wrapText="1"/>
    </xf>
    <xf numFmtId="43" fontId="9" fillId="2" borderId="8" xfId="0" applyNumberFormat="1" applyFont="1" applyFill="1" applyBorder="1" applyAlignment="1">
      <alignment horizontal="center" vertical="center" wrapText="1"/>
    </xf>
    <xf numFmtId="43" fontId="9" fillId="2" borderId="1" xfId="0" applyNumberFormat="1" applyFont="1" applyFill="1" applyBorder="1" applyAlignment="1">
      <alignment horizontal="center" vertical="center" wrapText="1"/>
    </xf>
    <xf numFmtId="43" fontId="17" fillId="3" borderId="11" xfId="0" applyNumberFormat="1" applyFont="1" applyFill="1" applyBorder="1" applyAlignment="1">
      <alignment horizontal="center"/>
    </xf>
    <xf numFmtId="9" fontId="23" fillId="5" borderId="0" xfId="0" applyNumberFormat="1" applyFont="1" applyFill="1" applyAlignment="1">
      <alignment horizontal="right"/>
    </xf>
    <xf numFmtId="0" fontId="31" fillId="5" borderId="0" xfId="0" applyFont="1" applyFill="1" applyAlignment="1">
      <alignment horizontal="right"/>
    </xf>
    <xf numFmtId="0" fontId="23" fillId="0" borderId="0" xfId="0" applyFont="1" applyAlignment="1">
      <alignment horizontal="right"/>
    </xf>
    <xf numFmtId="0" fontId="10" fillId="2" borderId="9" xfId="0" applyFont="1" applyFill="1" applyBorder="1" applyAlignment="1">
      <alignment vertical="center"/>
    </xf>
    <xf numFmtId="0" fontId="12" fillId="0" borderId="2" xfId="7" applyFont="1" applyBorder="1" applyAlignment="1" applyProtection="1">
      <alignment horizontal="left" vertical="center"/>
      <protection locked="0"/>
    </xf>
    <xf numFmtId="0" fontId="12" fillId="0" borderId="2" xfId="7" applyFont="1" applyBorder="1" applyAlignment="1" applyProtection="1">
      <alignment horizontal="left" vertical="center" wrapText="1"/>
      <protection locked="0"/>
    </xf>
    <xf numFmtId="0" fontId="12" fillId="0" borderId="2" xfId="7" applyFont="1" applyBorder="1" applyAlignment="1" applyProtection="1">
      <alignment vertical="center" wrapText="1"/>
      <protection locked="0"/>
    </xf>
    <xf numFmtId="0" fontId="14" fillId="0" borderId="2" xfId="0"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vertical="top" wrapText="1"/>
    </xf>
    <xf numFmtId="4" fontId="15" fillId="0" borderId="4" xfId="0" applyNumberFormat="1" applyFont="1" applyBorder="1" applyAlignment="1">
      <alignment vertical="top" wrapText="1"/>
    </xf>
    <xf numFmtId="2" fontId="7" fillId="0" borderId="6" xfId="1" applyNumberFormat="1" applyFont="1" applyBorder="1" applyAlignment="1">
      <alignment vertical="center"/>
    </xf>
    <xf numFmtId="166" fontId="7" fillId="0" borderId="6" xfId="0" applyNumberFormat="1" applyFont="1" applyBorder="1" applyAlignment="1">
      <alignment horizontal="center" wrapText="1"/>
    </xf>
    <xf numFmtId="43" fontId="7" fillId="4" borderId="11" xfId="0" applyNumberFormat="1" applyFont="1" applyFill="1" applyBorder="1" applyAlignment="1">
      <alignment vertical="center"/>
    </xf>
    <xf numFmtId="2" fontId="7" fillId="4" borderId="11" xfId="0" applyNumberFormat="1" applyFont="1" applyFill="1" applyBorder="1" applyAlignment="1">
      <alignment vertical="center"/>
    </xf>
    <xf numFmtId="3" fontId="7" fillId="0" borderId="8" xfId="8" applyNumberFormat="1" applyFont="1" applyFill="1" applyBorder="1" applyAlignment="1">
      <alignment horizontal="right" vertical="center" wrapText="1"/>
    </xf>
    <xf numFmtId="0" fontId="8" fillId="0" borderId="0" xfId="0" applyFont="1" applyAlignment="1">
      <alignment horizontal="center"/>
    </xf>
    <xf numFmtId="43" fontId="7" fillId="4" borderId="10" xfId="0" applyNumberFormat="1" applyFont="1" applyFill="1" applyBorder="1" applyAlignment="1">
      <alignment vertical="center"/>
    </xf>
    <xf numFmtId="43" fontId="7" fillId="4" borderId="12" xfId="0" applyNumberFormat="1" applyFont="1" applyFill="1" applyBorder="1" applyAlignment="1">
      <alignment vertical="center"/>
    </xf>
    <xf numFmtId="0" fontId="31" fillId="4" borderId="12" xfId="0" applyFont="1" applyFill="1" applyBorder="1" applyAlignment="1">
      <alignment vertical="center"/>
    </xf>
    <xf numFmtId="43" fontId="17" fillId="3" borderId="10" xfId="0" applyNumberFormat="1" applyFont="1" applyFill="1" applyBorder="1" applyAlignment="1">
      <alignment vertical="center"/>
    </xf>
    <xf numFmtId="0" fontId="31" fillId="4" borderId="6" xfId="0" applyFont="1" applyFill="1" applyBorder="1" applyAlignment="1">
      <alignment vertical="center"/>
    </xf>
    <xf numFmtId="0" fontId="37" fillId="0" borderId="0" xfId="0" applyFont="1" applyAlignment="1">
      <alignment vertical="top" wrapText="1"/>
    </xf>
    <xf numFmtId="0" fontId="19" fillId="0" borderId="0" xfId="0" applyFont="1" applyAlignment="1">
      <alignment horizontal="justify" vertical="top" wrapText="1"/>
    </xf>
    <xf numFmtId="0" fontId="19" fillId="0" borderId="0" xfId="0" applyFont="1" applyAlignment="1">
      <alignment horizontal="left" vertical="top"/>
    </xf>
    <xf numFmtId="0" fontId="19" fillId="0" borderId="0" xfId="0" applyFont="1" applyAlignment="1">
      <alignment horizontal="center" vertical="top"/>
    </xf>
    <xf numFmtId="0" fontId="20" fillId="0" borderId="0" xfId="0" applyFont="1" applyAlignment="1">
      <alignment horizontal="left" vertical="top"/>
    </xf>
    <xf numFmtId="0" fontId="6" fillId="0" borderId="0" xfId="14" applyBorder="1" applyAlignment="1">
      <alignment horizontal="left" vertical="top" wrapText="1"/>
    </xf>
    <xf numFmtId="0" fontId="39" fillId="0" borderId="0" xfId="14" applyFont="1" applyBorder="1" applyAlignment="1">
      <alignment horizontal="left" vertical="top" wrapText="1"/>
    </xf>
    <xf numFmtId="0" fontId="6" fillId="0" borderId="0" xfId="14" applyBorder="1" applyAlignment="1">
      <alignment horizontal="justify" vertical="top" wrapText="1"/>
    </xf>
    <xf numFmtId="0" fontId="41" fillId="0" borderId="0" xfId="14" applyFont="1" applyBorder="1" applyAlignment="1">
      <alignment horizontal="left" vertical="top" wrapText="1"/>
    </xf>
    <xf numFmtId="0" fontId="25" fillId="3" borderId="10" xfId="0" applyFont="1" applyFill="1" applyBorder="1" applyAlignment="1">
      <alignment horizontal="left" vertical="center" wrapText="1"/>
    </xf>
    <xf numFmtId="0" fontId="34" fillId="3" borderId="11" xfId="0" applyFont="1" applyFill="1" applyBorder="1" applyAlignment="1">
      <alignment horizontal="center" vertical="center"/>
    </xf>
    <xf numFmtId="43" fontId="23" fillId="4" borderId="11" xfId="0" applyNumberFormat="1" applyFont="1" applyFill="1" applyBorder="1"/>
    <xf numFmtId="4" fontId="23" fillId="4" borderId="11" xfId="0" applyNumberFormat="1" applyFont="1" applyFill="1" applyBorder="1"/>
    <xf numFmtId="0" fontId="23" fillId="0" borderId="13" xfId="1" applyNumberFormat="1" applyFont="1" applyBorder="1" applyAlignment="1">
      <alignment horizontal="center" vertical="center"/>
    </xf>
    <xf numFmtId="9" fontId="42" fillId="5" borderId="12" xfId="0" applyNumberFormat="1" applyFont="1" applyFill="1" applyBorder="1" applyAlignment="1">
      <alignment horizontal="center" vertical="center"/>
    </xf>
    <xf numFmtId="9" fontId="23" fillId="7" borderId="12" xfId="0" applyNumberFormat="1" applyFont="1" applyFill="1" applyBorder="1"/>
    <xf numFmtId="43" fontId="34" fillId="3" borderId="11" xfId="0" applyNumberFormat="1" applyFont="1" applyFill="1" applyBorder="1" applyAlignment="1">
      <alignment horizontal="left" vertical="center"/>
    </xf>
    <xf numFmtId="0" fontId="23" fillId="6" borderId="0" xfId="0" applyFont="1" applyFill="1" applyAlignment="1">
      <alignment horizontal="center"/>
    </xf>
    <xf numFmtId="9" fontId="34" fillId="3" borderId="11" xfId="0" applyNumberFormat="1" applyFont="1" applyFill="1" applyBorder="1" applyAlignment="1">
      <alignment horizontal="left" vertical="center"/>
    </xf>
    <xf numFmtId="2" fontId="34" fillId="3" borderId="11" xfId="0" applyNumberFormat="1" applyFont="1" applyFill="1" applyBorder="1" applyAlignment="1">
      <alignment horizontal="left" vertical="center"/>
    </xf>
    <xf numFmtId="0" fontId="23" fillId="8" borderId="10" xfId="0" applyFont="1" applyFill="1" applyBorder="1" applyAlignment="1">
      <alignment horizontal="left" vertical="center" wrapText="1"/>
    </xf>
    <xf numFmtId="0" fontId="23" fillId="8" borderId="11" xfId="0" applyFont="1" applyFill="1" applyBorder="1" applyAlignment="1">
      <alignment horizontal="left" vertical="center" wrapText="1"/>
    </xf>
    <xf numFmtId="0" fontId="23" fillId="8" borderId="12" xfId="0" applyFont="1" applyFill="1" applyBorder="1" applyAlignment="1">
      <alignment horizontal="left" vertical="center" wrapText="1"/>
    </xf>
    <xf numFmtId="0" fontId="23" fillId="6" borderId="0" xfId="7" applyFont="1" applyFill="1" applyAlignment="1">
      <alignment horizontal="center"/>
    </xf>
    <xf numFmtId="9" fontId="23" fillId="7" borderId="12" xfId="7" applyNumberFormat="1" applyFont="1" applyFill="1" applyBorder="1"/>
    <xf numFmtId="2" fontId="23" fillId="0" borderId="12" xfId="7" applyNumberFormat="1" applyFont="1" applyBorder="1"/>
    <xf numFmtId="0" fontId="23" fillId="0" borderId="0" xfId="7" applyFont="1"/>
    <xf numFmtId="0" fontId="23" fillId="0" borderId="7" xfId="7" applyFont="1" applyBorder="1" applyAlignment="1">
      <alignment horizontal="left" vertical="center" wrapText="1" indent="1"/>
    </xf>
    <xf numFmtId="0" fontId="33" fillId="0" borderId="7" xfId="7" applyFont="1" applyBorder="1" applyAlignment="1">
      <alignment horizontal="left" vertical="center" wrapText="1" indent="1"/>
    </xf>
    <xf numFmtId="9" fontId="43" fillId="5" borderId="12" xfId="0" applyNumberFormat="1" applyFont="1" applyFill="1" applyBorder="1" applyAlignment="1">
      <alignment horizontal="center" vertical="center" wrapText="1"/>
    </xf>
    <xf numFmtId="4" fontId="23" fillId="0" borderId="7" xfId="0" applyNumberFormat="1" applyFont="1" applyBorder="1" applyAlignment="1">
      <alignment horizontal="right" vertical="center"/>
    </xf>
    <xf numFmtId="0" fontId="24" fillId="4" borderId="10" xfId="0" applyFont="1" applyFill="1" applyBorder="1" applyAlignment="1">
      <alignment horizontal="left" vertical="center" wrapText="1"/>
    </xf>
    <xf numFmtId="9" fontId="23" fillId="4" borderId="12" xfId="0" applyNumberFormat="1" applyFont="1" applyFill="1" applyBorder="1"/>
    <xf numFmtId="2" fontId="23" fillId="4" borderId="12" xfId="0" applyNumberFormat="1" applyFont="1" applyFill="1" applyBorder="1"/>
    <xf numFmtId="165" fontId="23" fillId="0" borderId="7" xfId="0" applyNumberFormat="1" applyFont="1" applyBorder="1" applyAlignment="1">
      <alignment wrapText="1"/>
    </xf>
    <xf numFmtId="9" fontId="23" fillId="5" borderId="12" xfId="0" applyNumberFormat="1" applyFont="1" applyFill="1" applyBorder="1"/>
    <xf numFmtId="9" fontId="44" fillId="0" borderId="12" xfId="0" applyNumberFormat="1" applyFont="1" applyBorder="1" applyAlignment="1">
      <alignment horizontal="center" vertical="center" wrapText="1"/>
    </xf>
    <xf numFmtId="9" fontId="23" fillId="0" borderId="12" xfId="0" applyNumberFormat="1" applyFont="1" applyBorder="1"/>
    <xf numFmtId="0" fontId="25" fillId="3" borderId="10" xfId="0" applyFont="1" applyFill="1" applyBorder="1" applyAlignment="1">
      <alignment horizontal="left"/>
    </xf>
    <xf numFmtId="43" fontId="25" fillId="3" borderId="11" xfId="0" applyNumberFormat="1" applyFont="1" applyFill="1" applyBorder="1"/>
    <xf numFmtId="2" fontId="25" fillId="3" borderId="11" xfId="0" applyNumberFormat="1" applyFont="1" applyFill="1" applyBorder="1"/>
    <xf numFmtId="0" fontId="9" fillId="2" borderId="10" xfId="0" applyFont="1" applyFill="1" applyBorder="1" applyAlignment="1">
      <alignment horizontal="left" vertical="center"/>
    </xf>
    <xf numFmtId="0" fontId="9" fillId="2" borderId="12" xfId="0" applyFont="1" applyFill="1" applyBorder="1" applyAlignment="1">
      <alignment horizontal="left" vertical="center"/>
    </xf>
    <xf numFmtId="4" fontId="23" fillId="5" borderId="7" xfId="15" applyNumberFormat="1" applyFont="1" applyFill="1" applyBorder="1" applyAlignment="1">
      <alignment horizontal="right" vertical="center"/>
    </xf>
    <xf numFmtId="0" fontId="9" fillId="2" borderId="11" xfId="0" applyFont="1" applyFill="1" applyBorder="1" applyAlignment="1">
      <alignment horizontal="right" vertical="center"/>
    </xf>
    <xf numFmtId="165" fontId="7" fillId="0" borderId="13" xfId="0" applyNumberFormat="1" applyFont="1" applyBorder="1" applyAlignment="1">
      <alignment horizontal="left" vertical="center" wrapText="1" indent="1"/>
    </xf>
    <xf numFmtId="0" fontId="23" fillId="8" borderId="13" xfId="1" applyNumberFormat="1" applyFont="1" applyFill="1" applyBorder="1" applyAlignment="1">
      <alignment horizontal="center" vertical="center"/>
    </xf>
    <xf numFmtId="4" fontId="23" fillId="8" borderId="7" xfId="0" applyNumberFormat="1" applyFont="1" applyFill="1" applyBorder="1" applyAlignment="1">
      <alignment horizontal="right" vertical="center"/>
    </xf>
    <xf numFmtId="4" fontId="23" fillId="8" borderId="13" xfId="0" applyNumberFormat="1" applyFont="1" applyFill="1" applyBorder="1" applyAlignment="1">
      <alignment horizontal="right" vertical="center"/>
    </xf>
    <xf numFmtId="9" fontId="42" fillId="8" borderId="12" xfId="0" applyNumberFormat="1" applyFont="1" applyFill="1" applyBorder="1" applyAlignment="1">
      <alignment horizontal="center" vertical="center"/>
    </xf>
    <xf numFmtId="9" fontId="23" fillId="8" borderId="12" xfId="0" applyNumberFormat="1" applyFont="1" applyFill="1" applyBorder="1"/>
    <xf numFmtId="2" fontId="23" fillId="8" borderId="12" xfId="0" applyNumberFormat="1" applyFont="1" applyFill="1" applyBorder="1"/>
    <xf numFmtId="165" fontId="33" fillId="0" borderId="7" xfId="0" applyNumberFormat="1" applyFont="1" applyBorder="1" applyAlignment="1">
      <alignment wrapText="1"/>
    </xf>
    <xf numFmtId="0" fontId="9" fillId="2" borderId="6" xfId="0" applyFont="1" applyFill="1" applyBorder="1" applyAlignment="1">
      <alignment horizontal="left" vertical="center" wrapText="1"/>
    </xf>
    <xf numFmtId="0" fontId="8" fillId="6" borderId="0" xfId="0" applyFont="1" applyFill="1" applyAlignment="1">
      <alignment horizontal="center" vertical="center" wrapText="1"/>
    </xf>
    <xf numFmtId="0" fontId="8" fillId="0" borderId="0" xfId="0" applyFont="1" applyAlignment="1">
      <alignment vertical="center" wrapText="1"/>
    </xf>
    <xf numFmtId="9" fontId="47" fillId="5" borderId="12" xfId="0" applyNumberFormat="1" applyFont="1" applyFill="1" applyBorder="1" applyAlignment="1">
      <alignment horizontal="center" vertical="center"/>
    </xf>
    <xf numFmtId="165" fontId="7" fillId="0" borderId="6" xfId="0" applyNumberFormat="1" applyFont="1" applyBorder="1" applyAlignment="1">
      <alignment horizontal="left" vertical="center" wrapText="1" indent="1"/>
    </xf>
    <xf numFmtId="166" fontId="33" fillId="0" borderId="6" xfId="0" applyNumberFormat="1" applyFont="1" applyBorder="1" applyAlignment="1">
      <alignment horizontal="center" wrapText="1"/>
    </xf>
    <xf numFmtId="165" fontId="23" fillId="0" borderId="7" xfId="0" applyNumberFormat="1" applyFont="1" applyBorder="1" applyAlignment="1">
      <alignment horizontal="left" wrapText="1" indent="1"/>
    </xf>
    <xf numFmtId="9" fontId="23" fillId="0" borderId="12" xfId="0" applyNumberFormat="1" applyFont="1" applyBorder="1" applyAlignment="1">
      <alignment horizontal="center" vertical="center" wrapText="1"/>
    </xf>
    <xf numFmtId="49" fontId="23" fillId="0" borderId="6" xfId="0" applyNumberFormat="1" applyFont="1" applyBorder="1" applyAlignment="1">
      <alignment horizontal="left" vertical="center" wrapText="1" indent="1"/>
    </xf>
    <xf numFmtId="9" fontId="48" fillId="0" borderId="12" xfId="0" applyNumberFormat="1" applyFont="1" applyBorder="1"/>
    <xf numFmtId="9" fontId="33" fillId="0" borderId="12" xfId="0" applyNumberFormat="1" applyFont="1" applyBorder="1" applyAlignment="1">
      <alignment horizontal="center" vertical="center"/>
    </xf>
    <xf numFmtId="4" fontId="23" fillId="5" borderId="10" xfId="0" applyNumberFormat="1" applyFont="1" applyFill="1" applyBorder="1" applyAlignment="1">
      <alignment horizontal="right" vertical="center"/>
    </xf>
    <xf numFmtId="9" fontId="23" fillId="5" borderId="12" xfId="0" applyNumberFormat="1" applyFont="1" applyFill="1" applyBorder="1" applyAlignment="1">
      <alignment wrapText="1"/>
    </xf>
    <xf numFmtId="165" fontId="33" fillId="8" borderId="7" xfId="0" applyNumberFormat="1" applyFont="1" applyFill="1" applyBorder="1" applyAlignment="1">
      <alignment horizontal="left" wrapText="1" indent="1"/>
    </xf>
    <xf numFmtId="9" fontId="33" fillId="0" borderId="12" xfId="0" applyNumberFormat="1" applyFont="1" applyBorder="1" applyAlignment="1">
      <alignment horizontal="center"/>
    </xf>
    <xf numFmtId="0" fontId="24" fillId="8" borderId="10" xfId="0" applyFont="1" applyFill="1" applyBorder="1" applyAlignment="1">
      <alignment horizontal="left" vertical="center" wrapText="1"/>
    </xf>
    <xf numFmtId="9" fontId="44" fillId="0" borderId="9" xfId="0" applyNumberFormat="1" applyFont="1" applyBorder="1" applyAlignment="1">
      <alignment horizontal="center" vertical="center" wrapText="1"/>
    </xf>
    <xf numFmtId="0" fontId="23" fillId="8" borderId="10" xfId="0" applyFont="1" applyFill="1" applyBorder="1" applyAlignment="1">
      <alignment horizontal="left" vertical="center" wrapText="1" indent="1"/>
    </xf>
    <xf numFmtId="165" fontId="23" fillId="0" borderId="7" xfId="0" applyNumberFormat="1" applyFont="1" applyBorder="1" applyAlignment="1">
      <alignment vertical="center" wrapText="1"/>
    </xf>
    <xf numFmtId="165" fontId="23" fillId="0" borderId="10" xfId="0" applyNumberFormat="1" applyFont="1" applyBorder="1" applyAlignment="1">
      <alignment wrapText="1"/>
    </xf>
    <xf numFmtId="0" fontId="38" fillId="0" borderId="0" xfId="0" applyFont="1" applyAlignment="1">
      <alignment horizontal="justify" vertical="top" wrapText="1"/>
    </xf>
    <xf numFmtId="43" fontId="9" fillId="2" borderId="10" xfId="0" applyNumberFormat="1" applyFont="1" applyFill="1" applyBorder="1" applyAlignment="1">
      <alignment horizontal="left" vertical="center" wrapText="1"/>
    </xf>
    <xf numFmtId="43" fontId="9" fillId="2" borderId="11" xfId="0" applyNumberFormat="1" applyFont="1" applyFill="1" applyBorder="1" applyAlignment="1">
      <alignment horizontal="center" vertical="center" wrapText="1"/>
    </xf>
    <xf numFmtId="43" fontId="9" fillId="2" borderId="12" xfId="0" applyNumberFormat="1" applyFont="1" applyFill="1" applyBorder="1" applyAlignment="1">
      <alignment vertical="center" wrapText="1"/>
    </xf>
    <xf numFmtId="0" fontId="32" fillId="2" borderId="12" xfId="0" applyFont="1" applyFill="1" applyBorder="1" applyAlignment="1">
      <alignment vertical="center" wrapText="1"/>
    </xf>
    <xf numFmtId="0" fontId="32" fillId="2" borderId="11" xfId="0" applyFont="1" applyFill="1" applyBorder="1" applyAlignment="1">
      <alignment vertical="center" wrapText="1"/>
    </xf>
    <xf numFmtId="0" fontId="23" fillId="5" borderId="7" xfId="0" applyFont="1" applyFill="1" applyBorder="1" applyAlignment="1">
      <alignment horizontal="left" vertical="center" wrapText="1" indent="1"/>
    </xf>
    <xf numFmtId="9" fontId="44" fillId="0" borderId="13" xfId="0" applyNumberFormat="1" applyFont="1" applyBorder="1" applyAlignment="1">
      <alignment horizontal="center" vertical="center" wrapText="1"/>
    </xf>
    <xf numFmtId="9" fontId="23" fillId="7" borderId="9" xfId="0" applyNumberFormat="1" applyFont="1" applyFill="1" applyBorder="1"/>
    <xf numFmtId="2" fontId="23" fillId="0" borderId="9" xfId="0" applyNumberFormat="1" applyFont="1" applyBorder="1"/>
    <xf numFmtId="0" fontId="8" fillId="6" borderId="11" xfId="0" applyFont="1" applyFill="1" applyBorder="1" applyAlignment="1">
      <alignment horizontal="center"/>
    </xf>
    <xf numFmtId="9" fontId="42" fillId="5" borderId="12" xfId="0" applyNumberFormat="1" applyFont="1" applyFill="1" applyBorder="1" applyAlignment="1">
      <alignment horizontal="center" vertical="center" wrapText="1"/>
    </xf>
    <xf numFmtId="165" fontId="23" fillId="0" borderId="10" xfId="0" applyNumberFormat="1" applyFont="1" applyBorder="1" applyAlignment="1">
      <alignment vertical="center" wrapText="1"/>
    </xf>
    <xf numFmtId="0" fontId="12" fillId="0" borderId="0" xfId="7" applyFont="1" applyAlignment="1" applyProtection="1">
      <alignment horizontal="right" vertical="center"/>
      <protection locked="0"/>
    </xf>
    <xf numFmtId="0" fontId="12" fillId="0" borderId="0" xfId="7" applyFont="1" applyAlignment="1" applyProtection="1">
      <alignment horizontal="right" vertical="center" wrapText="1"/>
      <protection locked="0"/>
    </xf>
    <xf numFmtId="0" fontId="12" fillId="0" borderId="0" xfId="7" applyFont="1" applyAlignment="1" applyProtection="1">
      <alignment horizontal="center" vertical="center" wrapText="1"/>
      <protection locked="0"/>
    </xf>
    <xf numFmtId="4" fontId="12" fillId="0" borderId="0" xfId="7" applyNumberFormat="1" applyFont="1" applyAlignment="1" applyProtection="1">
      <alignment horizontal="right" vertical="center" wrapText="1"/>
      <protection locked="0"/>
    </xf>
    <xf numFmtId="0" fontId="14" fillId="0" borderId="0" xfId="0" applyFont="1" applyAlignment="1">
      <alignment horizontal="center" vertical="center" wrapText="1"/>
    </xf>
    <xf numFmtId="4" fontId="14" fillId="0" borderId="0" xfId="0" applyNumberFormat="1" applyFont="1" applyAlignment="1">
      <alignment horizontal="right" vertical="center" wrapText="1"/>
    </xf>
    <xf numFmtId="0" fontId="7" fillId="0" borderId="0" xfId="0" applyFont="1" applyAlignment="1">
      <alignment horizontal="center" vertical="center" wrapText="1"/>
    </xf>
    <xf numFmtId="4" fontId="7" fillId="0" borderId="0" xfId="0" applyNumberFormat="1" applyFont="1" applyAlignment="1">
      <alignment horizontal="right" vertical="center" wrapText="1"/>
    </xf>
    <xf numFmtId="0" fontId="7" fillId="0" borderId="0" xfId="0" applyFont="1" applyAlignment="1">
      <alignment horizontal="center" vertical="top"/>
    </xf>
    <xf numFmtId="0" fontId="9" fillId="0" borderId="0" xfId="0" applyFont="1" applyAlignment="1">
      <alignment horizontal="center" vertical="top" wrapText="1"/>
    </xf>
    <xf numFmtId="4" fontId="9" fillId="0" borderId="0" xfId="0" applyNumberFormat="1" applyFont="1" applyAlignment="1">
      <alignment horizontal="right" vertical="top" wrapText="1"/>
    </xf>
    <xf numFmtId="0" fontId="9" fillId="0" borderId="0" xfId="7" applyFont="1" applyAlignment="1" applyProtection="1">
      <alignment horizontal="center" vertical="center" wrapText="1"/>
      <protection locked="0"/>
    </xf>
    <xf numFmtId="0" fontId="9" fillId="0" borderId="0" xfId="7" applyFont="1" applyAlignment="1" applyProtection="1">
      <alignment horizontal="right" vertical="center" wrapText="1"/>
      <protection locked="0"/>
    </xf>
    <xf numFmtId="0" fontId="7" fillId="0" borderId="0" xfId="0" applyFont="1" applyAlignment="1">
      <alignment horizontal="center" vertical="top" wrapText="1"/>
    </xf>
    <xf numFmtId="0" fontId="7" fillId="0" borderId="0" xfId="0" applyFont="1" applyAlignment="1">
      <alignment horizontal="right" vertical="top" wrapText="1"/>
    </xf>
    <xf numFmtId="0" fontId="7" fillId="0" borderId="2" xfId="0" applyFont="1" applyBorder="1"/>
    <xf numFmtId="0" fontId="7" fillId="0" borderId="3" xfId="0" applyFont="1" applyBorder="1"/>
    <xf numFmtId="43" fontId="34" fillId="3" borderId="12" xfId="0" applyNumberFormat="1" applyFont="1" applyFill="1" applyBorder="1" applyAlignment="1">
      <alignment horizontal="left" vertical="center"/>
    </xf>
    <xf numFmtId="0" fontId="19" fillId="0" borderId="0" xfId="0" applyFont="1" applyAlignment="1">
      <alignment horizontal="justify" vertical="top" wrapText="1"/>
    </xf>
    <xf numFmtId="0" fontId="40" fillId="0" borderId="0" xfId="0" applyFont="1" applyAlignment="1">
      <alignment horizontal="left" vertical="top" wrapText="1"/>
    </xf>
    <xf numFmtId="0" fontId="7" fillId="0" borderId="0" xfId="0" applyFont="1" applyAlignment="1">
      <alignment horizontal="left" vertical="top"/>
    </xf>
    <xf numFmtId="0" fontId="7" fillId="0" borderId="3" xfId="0" applyFont="1" applyBorder="1" applyAlignment="1">
      <alignment horizontal="left" vertical="top"/>
    </xf>
    <xf numFmtId="0" fontId="22" fillId="0" borderId="0" xfId="0" applyFont="1" applyAlignment="1">
      <alignment horizontal="left" vertical="top" wrapText="1"/>
    </xf>
    <xf numFmtId="0" fontId="18" fillId="0" borderId="0" xfId="0" applyFont="1" applyAlignment="1">
      <alignment wrapText="1"/>
    </xf>
    <xf numFmtId="0" fontId="46" fillId="0" borderId="0" xfId="0" applyFont="1"/>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0" fillId="2" borderId="9" xfId="0" applyFont="1" applyFill="1" applyBorder="1" applyAlignment="1">
      <alignment horizontal="center" vertical="center"/>
    </xf>
    <xf numFmtId="17" fontId="7" fillId="0" borderId="0" xfId="0" applyNumberFormat="1" applyFont="1" applyAlignment="1">
      <alignment horizontal="left" vertical="top"/>
    </xf>
    <xf numFmtId="0" fontId="9" fillId="2" borderId="10" xfId="0" applyFont="1" applyFill="1"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33" fillId="0" borderId="10" xfId="7" applyFont="1" applyBorder="1" applyAlignment="1">
      <alignment horizontal="left" vertical="center" wrapText="1"/>
    </xf>
    <xf numFmtId="0" fontId="46" fillId="0" borderId="11" xfId="0" applyFont="1" applyBorder="1" applyAlignment="1">
      <alignment vertical="center"/>
    </xf>
    <xf numFmtId="0" fontId="46" fillId="0" borderId="12" xfId="0" applyFont="1" applyBorder="1" applyAlignment="1">
      <alignment vertical="center"/>
    </xf>
    <xf numFmtId="0" fontId="27" fillId="0" borderId="0" xfId="0" applyFont="1" applyAlignment="1">
      <alignment horizontal="left" vertical="top" wrapText="1"/>
    </xf>
  </cellXfs>
  <cellStyles count="16">
    <cellStyle name="Currency" xfId="1" builtinId="4"/>
    <cellStyle name="Currency 2" xfId="2" xr:uid="{00000000-0005-0000-0000-000000000000}"/>
    <cellStyle name="Currency 2 2" xfId="8" xr:uid="{00000000-0005-0000-0000-000001000000}"/>
    <cellStyle name="Currency 2 3" xfId="6" xr:uid="{00000000-0005-0000-0000-000002000000}"/>
    <cellStyle name="Currency 2 4" xfId="13" xr:uid="{00000000-0005-0000-0000-000003000000}"/>
    <cellStyle name="Currency 3" xfId="3" xr:uid="{00000000-0005-0000-0000-000004000000}"/>
    <cellStyle name="Currency 4" xfId="12" xr:uid="{00000000-0005-0000-0000-000005000000}"/>
    <cellStyle name="Hyperlink" xfId="14" builtinId="8"/>
    <cellStyle name="Normal" xfId="0" builtinId="0"/>
    <cellStyle name="Normal 2" xfId="7" xr:uid="{00000000-0005-0000-0000-000007000000}"/>
    <cellStyle name="Normal 2 2" xfId="5" xr:uid="{00000000-0005-0000-0000-000008000000}"/>
    <cellStyle name="Normal 2 2 3" xfId="11" xr:uid="{00000000-0005-0000-0000-000009000000}"/>
    <cellStyle name="Normal 2 3" xfId="9" xr:uid="{00000000-0005-0000-0000-00000A000000}"/>
    <cellStyle name="Normal 3" xfId="10" xr:uid="{00000000-0005-0000-0000-00000B000000}"/>
    <cellStyle name="Normal 4" xfId="15" xr:uid="{010CA548-36A7-4E93-8164-DDA715A35C35}"/>
    <cellStyle name="Normal 7" xfId="4" xr:uid="{00000000-0005-0000-0000-00000C000000}"/>
  </cellStyles>
  <dxfs count="0"/>
  <tableStyles count="0" defaultTableStyle="TableStyleMedium2" defaultPivotStyle="PivotStyleLight16"/>
  <colors>
    <mruColors>
      <color rgb="FFFFF59B"/>
      <color rgb="FFDE0000"/>
      <color rgb="FF575656"/>
      <color rgb="FF009193"/>
      <color rgb="FF5E5C59"/>
      <color rgb="FFD60000"/>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101600</xdr:colOff>
          <xdr:row>12</xdr:row>
          <xdr:rowOff>0</xdr:rowOff>
        </xdr:from>
        <xdr:to>
          <xdr:col>0</xdr:col>
          <xdr:colOff>914400</xdr:colOff>
          <xdr:row>13</xdr:row>
          <xdr:rowOff>25400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0</xdr:col>
      <xdr:colOff>2920999</xdr:colOff>
      <xdr:row>1</xdr:row>
      <xdr:rowOff>0</xdr:rowOff>
    </xdr:from>
    <xdr:to>
      <xdr:col>4</xdr:col>
      <xdr:colOff>518583</xdr:colOff>
      <xdr:row>2</xdr:row>
      <xdr:rowOff>164041</xdr:rowOff>
    </xdr:to>
    <xdr:sp macro="" textlink="">
      <xdr:nvSpPr>
        <xdr:cNvPr id="3" name="Textfeld 1">
          <a:extLst>
            <a:ext uri="{FF2B5EF4-FFF2-40B4-BE49-F238E27FC236}">
              <a16:creationId xmlns:a16="http://schemas.microsoft.com/office/drawing/2014/main" id="{00000000-0008-0000-0100-000003000000}"/>
            </a:ext>
          </a:extLst>
        </xdr:cNvPr>
        <xdr:cNvSpPr txBox="1"/>
      </xdr:nvSpPr>
      <xdr:spPr>
        <a:xfrm>
          <a:off x="2920999" y="2034540"/>
          <a:ext cx="3023024" cy="339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de-DE" sz="2000" b="1">
              <a:solidFill>
                <a:schemeClr val="tx1"/>
              </a:solidFill>
              <a:latin typeface="Century Gothic" panose="020B0502020202020204" pitchFamily="34" charset="0"/>
              <a:cs typeface="Arial" panose="020B0604020202020204" pitchFamily="34" charset="0"/>
            </a:rPr>
            <a:t>LIBERTY</a:t>
          </a:r>
          <a:r>
            <a:rPr lang="de-DE" sz="2000" b="1" baseline="0">
              <a:solidFill>
                <a:schemeClr val="tx1"/>
              </a:solidFill>
              <a:latin typeface="Century Gothic" panose="020B0502020202020204" pitchFamily="34" charset="0"/>
              <a:cs typeface="Arial" panose="020B0604020202020204" pitchFamily="34" charset="0"/>
            </a:rPr>
            <a:t> FRANCE</a:t>
          </a:r>
          <a:endParaRPr lang="de-DE" sz="2000" b="1">
            <a:solidFill>
              <a:schemeClr val="tx1"/>
            </a:solidFill>
            <a:latin typeface="Century Gothic" panose="020B0502020202020204" pitchFamily="34" charset="0"/>
            <a:cs typeface="Arial" panose="020B06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939800</xdr:colOff>
          <xdr:row>17</xdr:row>
          <xdr:rowOff>25400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000-000002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15</xdr:row>
      <xdr:rowOff>168090</xdr:rowOff>
    </xdr:from>
    <xdr:to>
      <xdr:col>2</xdr:col>
      <xdr:colOff>515470</xdr:colOff>
      <xdr:row>16</xdr:row>
      <xdr:rowOff>171450</xdr:rowOff>
    </xdr:to>
    <xdr:sp macro="" textlink="">
      <xdr:nvSpPr>
        <xdr:cNvPr id="5" name="ZoneTexte 1">
          <a:extLst>
            <a:ext uri="{FF2B5EF4-FFF2-40B4-BE49-F238E27FC236}">
              <a16:creationId xmlns:a16="http://schemas.microsoft.com/office/drawing/2014/main" id="{00000000-0008-0000-0100-000005000000}"/>
            </a:ext>
          </a:extLst>
        </xdr:cNvPr>
        <xdr:cNvSpPr txBox="1"/>
      </xdr:nvSpPr>
      <xdr:spPr>
        <a:xfrm>
          <a:off x="3997362" y="4907730"/>
          <a:ext cx="556708"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14</xdr:row>
          <xdr:rowOff>177800</xdr:rowOff>
        </xdr:from>
        <xdr:to>
          <xdr:col>0</xdr:col>
          <xdr:colOff>939800</xdr:colOff>
          <xdr:row>16</xdr:row>
          <xdr:rowOff>25400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000-000003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939800</xdr:colOff>
          <xdr:row>17</xdr:row>
          <xdr:rowOff>25400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000-000004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15</xdr:row>
      <xdr:rowOff>168090</xdr:rowOff>
    </xdr:from>
    <xdr:to>
      <xdr:col>2</xdr:col>
      <xdr:colOff>515470</xdr:colOff>
      <xdr:row>16</xdr:row>
      <xdr:rowOff>171450</xdr:rowOff>
    </xdr:to>
    <xdr:sp macro="" textlink="">
      <xdr:nvSpPr>
        <xdr:cNvPr id="8" name="ZoneTexte 1">
          <a:extLst>
            <a:ext uri="{FF2B5EF4-FFF2-40B4-BE49-F238E27FC236}">
              <a16:creationId xmlns:a16="http://schemas.microsoft.com/office/drawing/2014/main" id="{00000000-0008-0000-0100-000008000000}"/>
            </a:ext>
          </a:extLst>
        </xdr:cNvPr>
        <xdr:cNvSpPr txBox="1"/>
      </xdr:nvSpPr>
      <xdr:spPr>
        <a:xfrm>
          <a:off x="3997362" y="4907730"/>
          <a:ext cx="556708"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rgbClr val="0070C0"/>
              </a:solidFill>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14</xdr:row>
          <xdr:rowOff>177800</xdr:rowOff>
        </xdr:from>
        <xdr:to>
          <xdr:col>0</xdr:col>
          <xdr:colOff>939800</xdr:colOff>
          <xdr:row>16</xdr:row>
          <xdr:rowOff>25400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000-000005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939800</xdr:colOff>
          <xdr:row>17</xdr:row>
          <xdr:rowOff>25400</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000-000006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15</xdr:row>
      <xdr:rowOff>168090</xdr:rowOff>
    </xdr:from>
    <xdr:to>
      <xdr:col>2</xdr:col>
      <xdr:colOff>515470</xdr:colOff>
      <xdr:row>16</xdr:row>
      <xdr:rowOff>171450</xdr:rowOff>
    </xdr:to>
    <xdr:sp macro="" textlink="">
      <xdr:nvSpPr>
        <xdr:cNvPr id="11" name="ZoneTexte 1">
          <a:extLst>
            <a:ext uri="{FF2B5EF4-FFF2-40B4-BE49-F238E27FC236}">
              <a16:creationId xmlns:a16="http://schemas.microsoft.com/office/drawing/2014/main" id="{00000000-0008-0000-0100-00000B000000}"/>
            </a:ext>
          </a:extLst>
        </xdr:cNvPr>
        <xdr:cNvSpPr txBox="1"/>
      </xdr:nvSpPr>
      <xdr:spPr>
        <a:xfrm>
          <a:off x="3997362" y="4907730"/>
          <a:ext cx="556708"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14</xdr:row>
          <xdr:rowOff>177800</xdr:rowOff>
        </xdr:from>
        <xdr:to>
          <xdr:col>0</xdr:col>
          <xdr:colOff>939800</xdr:colOff>
          <xdr:row>16</xdr:row>
          <xdr:rowOff>25400</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000-000007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101600</xdr:colOff>
          <xdr:row>15</xdr:row>
          <xdr:rowOff>177800</xdr:rowOff>
        </xdr:from>
        <xdr:to>
          <xdr:col>0</xdr:col>
          <xdr:colOff>939800</xdr:colOff>
          <xdr:row>17</xdr:row>
          <xdr:rowOff>25400</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000-000008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xdr:from>
      <xdr:col>1</xdr:col>
      <xdr:colOff>537882</xdr:colOff>
      <xdr:row>15</xdr:row>
      <xdr:rowOff>168090</xdr:rowOff>
    </xdr:from>
    <xdr:to>
      <xdr:col>2</xdr:col>
      <xdr:colOff>515470</xdr:colOff>
      <xdr:row>16</xdr:row>
      <xdr:rowOff>171450</xdr:rowOff>
    </xdr:to>
    <xdr:sp macro="" textlink="">
      <xdr:nvSpPr>
        <xdr:cNvPr id="14" name="ZoneTexte 1">
          <a:extLst>
            <a:ext uri="{FF2B5EF4-FFF2-40B4-BE49-F238E27FC236}">
              <a16:creationId xmlns:a16="http://schemas.microsoft.com/office/drawing/2014/main" id="{00000000-0008-0000-0100-00000E000000}"/>
            </a:ext>
          </a:extLst>
        </xdr:cNvPr>
        <xdr:cNvSpPr txBox="1"/>
      </xdr:nvSpPr>
      <xdr:spPr>
        <a:xfrm>
          <a:off x="3997362" y="4907730"/>
          <a:ext cx="556708" cy="193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solidFill>
                <a:sysClr val="windowText" lastClr="000000"/>
              </a:solidFill>
              <a:latin typeface="Arial" panose="020B0604020202020204" pitchFamily="34" charset="0"/>
              <a:cs typeface="Arial" panose="020B0604020202020204" pitchFamily="34" charset="0"/>
            </a:rPr>
            <a:t>X %</a:t>
          </a:r>
        </a:p>
      </xdr:txBody>
    </xdr:sp>
    <xdr:clientData/>
  </xdr:twoCellAnchor>
  <mc:AlternateContent xmlns:mc="http://schemas.openxmlformats.org/markup-compatibility/2006">
    <mc:Choice xmlns:a14="http://schemas.microsoft.com/office/drawing/2010/main" Requires="a14">
      <xdr:twoCellAnchor editAs="oneCell">
        <xdr:from>
          <xdr:col>0</xdr:col>
          <xdr:colOff>101600</xdr:colOff>
          <xdr:row>14</xdr:row>
          <xdr:rowOff>177800</xdr:rowOff>
        </xdr:from>
        <xdr:to>
          <xdr:col>0</xdr:col>
          <xdr:colOff>939800</xdr:colOff>
          <xdr:row>16</xdr:row>
          <xdr:rowOff>25400</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000-0000092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txBody>
            <a:bodyPr vertOverflow="clip" wrap="square" lIns="18288" tIns="18288" rIns="0" bIns="18288" anchor="ctr" upright="1"/>
            <a:lstStyle/>
            <a:p>
              <a:pPr algn="l" rtl="0">
                <a:defRPr sz="1000"/>
              </a:pPr>
              <a:r>
                <a:rPr lang="en-US" sz="800" b="0" i="0" u="none" strike="noStrike" baseline="0">
                  <a:solidFill>
                    <a:srgbClr val="000000"/>
                  </a:solidFill>
                  <a:latin typeface="Segoe UI"/>
                  <a:cs typeface="Segoe UI"/>
                </a:rPr>
                <a:t>  </a:t>
              </a:r>
            </a:p>
          </xdr:txBody>
        </xdr:sp>
        <xdr:clientData/>
      </xdr:twoCellAnchor>
    </mc:Choice>
    <mc:Fallback/>
  </mc:AlternateContent>
  <xdr:twoCellAnchor editAs="absolute">
    <xdr:from>
      <xdr:col>0</xdr:col>
      <xdr:colOff>7408</xdr:colOff>
      <xdr:row>0</xdr:row>
      <xdr:rowOff>17655</xdr:rowOff>
    </xdr:from>
    <xdr:to>
      <xdr:col>5</xdr:col>
      <xdr:colOff>697704</xdr:colOff>
      <xdr:row>0</xdr:row>
      <xdr:rowOff>1876091</xdr:rowOff>
    </xdr:to>
    <xdr:pic>
      <xdr:nvPicPr>
        <xdr:cNvPr id="16" name="Obrázek 2">
          <a:extLst>
            <a:ext uri="{FF2B5EF4-FFF2-40B4-BE49-F238E27FC236}">
              <a16:creationId xmlns:a16="http://schemas.microsoft.com/office/drawing/2014/main" id="{00000000-0008-0000-0100-000010000000}"/>
            </a:ext>
          </a:extLst>
        </xdr:cNvPr>
        <xdr:cNvPicPr preferRelativeResize="0">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0583" y="17655"/>
          <a:ext cx="8260977" cy="185526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2.xml"/><Relationship Id="rId13" Type="http://schemas.openxmlformats.org/officeDocument/2006/relationships/ctrlProp" Target="../ctrlProps/ctrlProp7.xml"/><Relationship Id="rId3" Type="http://schemas.openxmlformats.org/officeDocument/2006/relationships/hyperlink" Target="https://www.liberty-int.com/docs/LITG-Data-Processing-Addendum.pdf" TargetMode="External"/><Relationship Id="rId7" Type="http://schemas.openxmlformats.org/officeDocument/2006/relationships/ctrlProp" Target="../ctrlProps/ctrlProp1.xml"/><Relationship Id="rId12" Type="http://schemas.openxmlformats.org/officeDocument/2006/relationships/ctrlProp" Target="../ctrlProps/ctrlProp6.xml"/><Relationship Id="rId2" Type="http://schemas.openxmlformats.org/officeDocument/2006/relationships/hyperlink" Target="https://www.liberty-int.com/docs/Terms-and-Conditions-for-Procurement-Services.pdf" TargetMode="External"/><Relationship Id="rId1" Type="http://schemas.openxmlformats.org/officeDocument/2006/relationships/hyperlink" Target="https://www.liberty-int.com/docs/Terms-and-Conditions-for-Purchase-and-Sale-Services.pdf" TargetMode="External"/><Relationship Id="rId6" Type="http://schemas.openxmlformats.org/officeDocument/2006/relationships/vmlDrawing" Target="../drawings/vmlDrawing1.vml"/><Relationship Id="rId11" Type="http://schemas.openxmlformats.org/officeDocument/2006/relationships/ctrlProp" Target="../ctrlProps/ctrlProp5.xml"/><Relationship Id="rId5" Type="http://schemas.openxmlformats.org/officeDocument/2006/relationships/drawing" Target="../drawings/drawing1.xml"/><Relationship Id="rId15" Type="http://schemas.openxmlformats.org/officeDocument/2006/relationships/ctrlProp" Target="../ctrlProps/ctrlProp9.xml"/><Relationship Id="rId10" Type="http://schemas.openxmlformats.org/officeDocument/2006/relationships/ctrlProp" Target="../ctrlProps/ctrlProp4.xml"/><Relationship Id="rId4" Type="http://schemas.openxmlformats.org/officeDocument/2006/relationships/printerSettings" Target="../printerSettings/printerSettings1.bin"/><Relationship Id="rId9" Type="http://schemas.openxmlformats.org/officeDocument/2006/relationships/ctrlProp" Target="../ctrlProps/ctrlProp3.xml"/><Relationship Id="rId14" Type="http://schemas.openxmlformats.org/officeDocument/2006/relationships/ctrlProp" Target="../ctrlProps/ctrlProp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9B372-94F0-4136-8486-004A6F427C36}">
  <dimension ref="A1:AM237"/>
  <sheetViews>
    <sheetView showGridLines="0" tabSelected="1" showRuler="0" showWhiteSpace="0" zoomScale="90" zoomScaleNormal="90" zoomScaleSheetLayoutView="80" zoomScalePageLayoutView="90" workbookViewId="0">
      <selection activeCell="B9" sqref="B9:D9"/>
    </sheetView>
  </sheetViews>
  <sheetFormatPr baseColWidth="10" defaultColWidth="8.83203125" defaultRowHeight="14" x14ac:dyDescent="0.15"/>
  <cols>
    <col min="1" max="1" width="64" style="2" customWidth="1"/>
    <col min="2" max="2" width="9.83203125" style="3" customWidth="1"/>
    <col min="3" max="3" width="10.6640625" style="5" customWidth="1"/>
    <col min="4" max="4" width="11" style="177" customWidth="1"/>
    <col min="5" max="5" width="14.5" style="177" customWidth="1"/>
    <col min="6" max="6" width="42" style="2" customWidth="1"/>
    <col min="7" max="7" width="3.5" style="208" hidden="1" customWidth="1"/>
    <col min="8" max="8" width="10.6640625" style="102" hidden="1" customWidth="1"/>
    <col min="9" max="9" width="16.5" style="102" hidden="1" customWidth="1"/>
    <col min="10" max="10" width="12.83203125" style="102" hidden="1" customWidth="1"/>
    <col min="11" max="16384" width="8.83203125" style="1"/>
  </cols>
  <sheetData>
    <row r="1" spans="1:10" ht="160.5" customHeight="1" x14ac:dyDescent="0.15">
      <c r="A1" s="3"/>
      <c r="C1" s="3"/>
      <c r="D1" s="176"/>
      <c r="E1" s="176"/>
      <c r="F1" s="3"/>
      <c r="G1" s="48" t="s">
        <v>56</v>
      </c>
      <c r="H1" s="101"/>
      <c r="I1" s="101" t="s">
        <v>68</v>
      </c>
      <c r="J1" s="101"/>
    </row>
    <row r="2" spans="1:10" ht="14.25" customHeight="1" x14ac:dyDescent="0.15">
      <c r="C2" s="4"/>
      <c r="G2" s="48" t="s">
        <v>56</v>
      </c>
    </row>
    <row r="3" spans="1:10" x14ac:dyDescent="0.15">
      <c r="G3" s="48" t="s">
        <v>56</v>
      </c>
    </row>
    <row r="4" spans="1:10" ht="23" x14ac:dyDescent="0.15">
      <c r="A4" s="325" t="s">
        <v>7</v>
      </c>
      <c r="B4" s="326"/>
      <c r="C4" s="326"/>
      <c r="D4" s="326"/>
      <c r="E4" s="326"/>
      <c r="F4" s="327"/>
      <c r="G4" s="48" t="s">
        <v>56</v>
      </c>
      <c r="H4" s="145" t="s">
        <v>67</v>
      </c>
      <c r="I4" s="146"/>
      <c r="J4" s="195"/>
    </row>
    <row r="5" spans="1:10" ht="17" x14ac:dyDescent="0.15">
      <c r="A5" s="6" t="s">
        <v>2</v>
      </c>
      <c r="B5" s="320" t="s">
        <v>189</v>
      </c>
      <c r="C5" s="320"/>
      <c r="D5" s="320"/>
      <c r="E5" s="300"/>
      <c r="F5" s="70"/>
      <c r="G5" s="48" t="s">
        <v>56</v>
      </c>
      <c r="H5" s="196"/>
      <c r="I5" s="69"/>
      <c r="J5" s="70"/>
    </row>
    <row r="6" spans="1:10" ht="17" x14ac:dyDescent="0.15">
      <c r="A6" s="6" t="s">
        <v>3</v>
      </c>
      <c r="B6" s="320" t="s">
        <v>99</v>
      </c>
      <c r="C6" s="320"/>
      <c r="D6" s="320"/>
      <c r="E6" s="300"/>
      <c r="F6" s="70"/>
      <c r="G6" s="48" t="s">
        <v>56</v>
      </c>
      <c r="H6" s="196"/>
      <c r="I6" s="69"/>
      <c r="J6" s="70"/>
    </row>
    <row r="7" spans="1:10" ht="17" x14ac:dyDescent="0.15">
      <c r="A7" s="6" t="s">
        <v>4</v>
      </c>
      <c r="B7" s="328" t="s">
        <v>150</v>
      </c>
      <c r="C7" s="320"/>
      <c r="D7" s="320"/>
      <c r="E7" s="300"/>
      <c r="F7" s="70"/>
      <c r="G7" s="48" t="s">
        <v>56</v>
      </c>
      <c r="H7" s="196"/>
      <c r="I7" s="69"/>
      <c r="J7" s="70"/>
    </row>
    <row r="8" spans="1:10" ht="17" x14ac:dyDescent="0.15">
      <c r="A8" s="6" t="s">
        <v>5</v>
      </c>
      <c r="B8" s="320">
        <v>18</v>
      </c>
      <c r="C8" s="320"/>
      <c r="D8" s="320"/>
      <c r="E8" s="300"/>
      <c r="F8" s="70"/>
      <c r="G8" s="48" t="s">
        <v>56</v>
      </c>
      <c r="H8" s="196"/>
      <c r="I8" s="69"/>
      <c r="J8" s="70"/>
    </row>
    <row r="9" spans="1:10" ht="24" customHeight="1" x14ac:dyDescent="0.15">
      <c r="A9" s="6" t="s">
        <v>6</v>
      </c>
      <c r="B9" s="320" t="s">
        <v>190</v>
      </c>
      <c r="C9" s="320"/>
      <c r="D9" s="320"/>
      <c r="E9" s="301"/>
      <c r="F9" s="80"/>
      <c r="G9" s="48" t="s">
        <v>56</v>
      </c>
      <c r="H9" s="197"/>
      <c r="I9" s="79"/>
      <c r="J9" s="80"/>
    </row>
    <row r="10" spans="1:10" ht="16" x14ac:dyDescent="0.15">
      <c r="A10" s="6"/>
      <c r="B10" s="302"/>
      <c r="C10" s="302"/>
      <c r="D10" s="303"/>
      <c r="E10" s="303"/>
      <c r="F10" s="8"/>
      <c r="G10" s="48" t="s">
        <v>56</v>
      </c>
      <c r="H10" s="198"/>
      <c r="I10" s="7"/>
      <c r="J10" s="8"/>
    </row>
    <row r="11" spans="1:10" ht="14.25" customHeight="1" x14ac:dyDescent="0.15">
      <c r="A11" s="72" t="s">
        <v>51</v>
      </c>
      <c r="B11" s="304"/>
      <c r="C11" s="304"/>
      <c r="D11" s="305"/>
      <c r="E11" s="305"/>
      <c r="F11" s="10"/>
      <c r="G11" s="48" t="s">
        <v>56</v>
      </c>
      <c r="H11" s="199"/>
      <c r="I11" s="9"/>
      <c r="J11" s="10"/>
    </row>
    <row r="12" spans="1:10" ht="16" x14ac:dyDescent="0.15">
      <c r="A12" s="75" t="s">
        <v>61</v>
      </c>
      <c r="B12" s="306"/>
      <c r="C12" s="306"/>
      <c r="D12" s="307"/>
      <c r="E12" s="307"/>
      <c r="F12" s="85"/>
      <c r="G12" s="48" t="s">
        <v>56</v>
      </c>
      <c r="H12" s="200"/>
      <c r="I12" s="84"/>
      <c r="J12" s="85"/>
    </row>
    <row r="13" spans="1:10" ht="16" x14ac:dyDescent="0.15">
      <c r="A13" s="75" t="s">
        <v>43</v>
      </c>
      <c r="B13" s="320" t="s">
        <v>47</v>
      </c>
      <c r="C13" s="320"/>
      <c r="D13" s="320"/>
      <c r="E13" s="320"/>
      <c r="F13" s="321"/>
      <c r="G13" s="48" t="s">
        <v>56</v>
      </c>
      <c r="H13" s="75"/>
      <c r="I13" s="76"/>
      <c r="J13" s="11"/>
    </row>
    <row r="14" spans="1:10" ht="15" customHeight="1" x14ac:dyDescent="0.15">
      <c r="A14" s="75"/>
      <c r="B14" s="308"/>
      <c r="C14" s="309"/>
      <c r="D14" s="310"/>
      <c r="E14" s="310"/>
      <c r="F14" s="11"/>
      <c r="G14" s="48" t="s">
        <v>56</v>
      </c>
      <c r="H14" s="75"/>
      <c r="I14" s="76"/>
      <c r="J14" s="11"/>
    </row>
    <row r="15" spans="1:10" s="12" customFormat="1" ht="15" customHeight="1" x14ac:dyDescent="0.15">
      <c r="A15" s="72" t="s">
        <v>52</v>
      </c>
      <c r="B15" s="311"/>
      <c r="C15" s="311"/>
      <c r="D15" s="312"/>
      <c r="E15" s="312"/>
      <c r="F15" s="74"/>
      <c r="G15" s="48" t="s">
        <v>56</v>
      </c>
      <c r="H15" s="72"/>
      <c r="I15" s="73"/>
      <c r="J15" s="74"/>
    </row>
    <row r="16" spans="1:10" s="12" customFormat="1" ht="15" customHeight="1" x14ac:dyDescent="0.15">
      <c r="A16" s="75" t="s">
        <v>53</v>
      </c>
      <c r="B16" s="309"/>
      <c r="C16" s="313"/>
      <c r="D16" s="314"/>
      <c r="E16" s="314"/>
      <c r="F16" s="78"/>
      <c r="G16" s="48" t="s">
        <v>56</v>
      </c>
      <c r="H16" s="201"/>
      <c r="I16" s="77"/>
      <c r="J16" s="78"/>
    </row>
    <row r="17" spans="1:39" s="12" customFormat="1" ht="15" customHeight="1" x14ac:dyDescent="0.15">
      <c r="A17" s="75" t="s">
        <v>54</v>
      </c>
      <c r="B17" s="309"/>
      <c r="C17" s="313" t="s">
        <v>27</v>
      </c>
      <c r="D17" s="314"/>
      <c r="E17" s="314"/>
      <c r="F17" s="78"/>
      <c r="G17" s="48" t="s">
        <v>56</v>
      </c>
      <c r="H17" s="201"/>
      <c r="I17" s="77"/>
      <c r="J17" s="78"/>
    </row>
    <row r="18" spans="1:39" x14ac:dyDescent="0.15">
      <c r="A18" s="13"/>
      <c r="B18" s="187"/>
      <c r="C18" s="187"/>
      <c r="D18" s="178"/>
      <c r="E18" s="178"/>
      <c r="F18" s="172"/>
      <c r="G18" s="48" t="s">
        <v>56</v>
      </c>
      <c r="H18" s="202"/>
      <c r="I18" s="50"/>
      <c r="J18" s="172"/>
    </row>
    <row r="19" spans="1:39" x14ac:dyDescent="0.15">
      <c r="A19" s="14"/>
      <c r="B19" s="188"/>
      <c r="C19" s="188"/>
      <c r="D19" s="179"/>
      <c r="E19" s="179"/>
      <c r="F19" s="14"/>
      <c r="G19" s="48" t="s">
        <v>56</v>
      </c>
      <c r="H19" s="14"/>
      <c r="I19" s="14"/>
      <c r="J19" s="14"/>
    </row>
    <row r="20" spans="1:39" ht="16" x14ac:dyDescent="0.2">
      <c r="A20" s="15"/>
      <c r="C20" s="16"/>
      <c r="G20" s="48" t="s">
        <v>56</v>
      </c>
      <c r="H20" s="2"/>
      <c r="I20" s="2"/>
      <c r="J20" s="2"/>
    </row>
    <row r="21" spans="1:39" ht="60" x14ac:dyDescent="0.15">
      <c r="A21" s="20" t="s">
        <v>46</v>
      </c>
      <c r="B21" s="17" t="s">
        <v>30</v>
      </c>
      <c r="C21" s="18" t="s">
        <v>1</v>
      </c>
      <c r="D21" s="71" t="s">
        <v>83</v>
      </c>
      <c r="E21" s="71" t="s">
        <v>84</v>
      </c>
      <c r="F21" s="17" t="s">
        <v>8</v>
      </c>
      <c r="G21" s="48" t="s">
        <v>56</v>
      </c>
      <c r="H21" s="104" t="s">
        <v>62</v>
      </c>
      <c r="I21" s="135" t="s">
        <v>63</v>
      </c>
      <c r="J21" s="95" t="s">
        <v>64</v>
      </c>
    </row>
    <row r="22" spans="1:39" x14ac:dyDescent="0.15">
      <c r="A22" s="315"/>
      <c r="C22" s="16"/>
      <c r="D22" s="49"/>
      <c r="E22" s="49"/>
      <c r="F22" s="316"/>
      <c r="G22" s="89"/>
      <c r="H22" s="89"/>
      <c r="I22" s="89"/>
      <c r="J22" s="89"/>
      <c r="K22" s="173"/>
      <c r="L22" s="173"/>
      <c r="M22" s="173"/>
      <c r="N22" s="173"/>
      <c r="O22" s="173"/>
      <c r="P22" s="173"/>
      <c r="Q22" s="173"/>
      <c r="R22" s="173"/>
      <c r="S22" s="173"/>
      <c r="T22" s="173"/>
      <c r="U22" s="173"/>
      <c r="V22" s="173"/>
      <c r="W22" s="173"/>
      <c r="X22" s="173"/>
      <c r="Y22" s="173"/>
      <c r="Z22" s="173"/>
      <c r="AA22" s="173"/>
      <c r="AB22" s="173"/>
      <c r="AC22" s="173"/>
      <c r="AD22" s="173"/>
      <c r="AE22" s="173"/>
      <c r="AF22" s="173"/>
      <c r="AG22" s="173"/>
      <c r="AH22" s="173"/>
      <c r="AI22" s="173"/>
      <c r="AJ22" s="173"/>
      <c r="AK22" s="173"/>
      <c r="AL22" s="173"/>
      <c r="AM22" s="173"/>
    </row>
    <row r="23" spans="1:39" s="19" customFormat="1" ht="22" customHeight="1" x14ac:dyDescent="0.15">
      <c r="A23" s="56" t="s">
        <v>133</v>
      </c>
      <c r="B23" s="56"/>
      <c r="C23" s="56"/>
      <c r="D23" s="56"/>
      <c r="E23" s="56"/>
      <c r="F23" s="56"/>
      <c r="G23" s="174" t="s">
        <v>56</v>
      </c>
      <c r="H23" s="56"/>
      <c r="I23" s="56"/>
      <c r="J23" s="56"/>
    </row>
    <row r="24" spans="1:39" s="89" customFormat="1" ht="19.5" customHeight="1" x14ac:dyDescent="0.15">
      <c r="A24" s="223" t="s">
        <v>188</v>
      </c>
      <c r="B24" s="224"/>
      <c r="C24" s="224"/>
      <c r="D24" s="230"/>
      <c r="E24" s="230"/>
      <c r="F24" s="317"/>
      <c r="G24" s="231" t="s">
        <v>56</v>
      </c>
      <c r="H24" s="232"/>
      <c r="I24" s="233"/>
      <c r="J24" s="233"/>
    </row>
    <row r="25" spans="1:39" s="89" customFormat="1" ht="21.75" customHeight="1" x14ac:dyDescent="0.15">
      <c r="A25" s="245" t="s">
        <v>151</v>
      </c>
      <c r="B25" s="225"/>
      <c r="C25" s="225"/>
      <c r="D25" s="226"/>
      <c r="E25" s="226"/>
      <c r="F25" s="98"/>
      <c r="G25" s="231" t="s">
        <v>56</v>
      </c>
      <c r="H25" s="246"/>
      <c r="I25" s="247"/>
      <c r="J25" s="247"/>
    </row>
    <row r="26" spans="1:39" s="89" customFormat="1" ht="24" customHeight="1" x14ac:dyDescent="0.15">
      <c r="A26" s="241" t="s">
        <v>134</v>
      </c>
      <c r="B26" s="227">
        <v>4</v>
      </c>
      <c r="C26" s="227">
        <v>9</v>
      </c>
      <c r="D26" s="86">
        <v>520</v>
      </c>
      <c r="E26" s="87">
        <f t="shared" ref="E26" si="0">B26*C26*D26</f>
        <v>18720</v>
      </c>
      <c r="F26" s="279"/>
      <c r="G26" s="231" t="s">
        <v>56</v>
      </c>
      <c r="H26" s="229" t="e">
        <f>#REF!</f>
        <v>#REF!</v>
      </c>
      <c r="I26" s="96" t="e">
        <f t="shared" ref="I26" si="1">ROUNDUP(D26/(1+H26),0)</f>
        <v>#REF!</v>
      </c>
      <c r="J26" s="96" t="e">
        <f t="shared" ref="J26" si="2">B26*C26*I26</f>
        <v>#REF!</v>
      </c>
    </row>
    <row r="27" spans="1:39" s="89" customFormat="1" ht="18" customHeight="1" x14ac:dyDescent="0.15">
      <c r="A27" s="241" t="s">
        <v>135</v>
      </c>
      <c r="B27" s="227">
        <v>4</v>
      </c>
      <c r="C27" s="227">
        <v>18</v>
      </c>
      <c r="D27" s="86">
        <v>3.48</v>
      </c>
      <c r="E27" s="87">
        <f t="shared" ref="E27" si="3">B27*C27*D27</f>
        <v>250.56</v>
      </c>
      <c r="F27" s="279"/>
      <c r="G27" s="231" t="s">
        <v>56</v>
      </c>
      <c r="H27" s="229" t="e">
        <f>#REF!</f>
        <v>#REF!</v>
      </c>
      <c r="I27" s="96" t="e">
        <f t="shared" ref="I27" si="4">ROUNDUP(D27/(1+H27),0)</f>
        <v>#REF!</v>
      </c>
      <c r="J27" s="96" t="e">
        <f t="shared" ref="J27" si="5">B27*C27*I27</f>
        <v>#REF!</v>
      </c>
    </row>
    <row r="28" spans="1:39" s="89" customFormat="1" ht="48" customHeight="1" x14ac:dyDescent="0.15">
      <c r="A28" s="241" t="s">
        <v>165</v>
      </c>
      <c r="B28" s="227">
        <v>1</v>
      </c>
      <c r="C28" s="227">
        <v>18</v>
      </c>
      <c r="D28" s="86">
        <v>106</v>
      </c>
      <c r="E28" s="87">
        <f t="shared" ref="E28:E29" si="6">B28*C28*D28</f>
        <v>1908</v>
      </c>
      <c r="F28" s="279"/>
      <c r="G28" s="231" t="s">
        <v>56</v>
      </c>
      <c r="H28" s="229" t="e">
        <f>#REF!</f>
        <v>#REF!</v>
      </c>
      <c r="I28" s="96" t="e">
        <f t="shared" ref="I28" si="7">ROUNDUP(D28/(1+H28),0)</f>
        <v>#REF!</v>
      </c>
      <c r="J28" s="96" t="e">
        <f t="shared" ref="J28" si="8">B28*C28*I28</f>
        <v>#REF!</v>
      </c>
    </row>
    <row r="29" spans="1:39" s="89" customFormat="1" ht="183.75" customHeight="1" x14ac:dyDescent="0.15">
      <c r="A29" s="293" t="s">
        <v>187</v>
      </c>
      <c r="B29" s="227">
        <v>1</v>
      </c>
      <c r="C29" s="227">
        <v>18</v>
      </c>
      <c r="D29" s="87">
        <v>136</v>
      </c>
      <c r="E29" s="87">
        <f t="shared" si="6"/>
        <v>2448</v>
      </c>
      <c r="F29" s="294" t="s">
        <v>152</v>
      </c>
      <c r="G29" s="231" t="s">
        <v>56</v>
      </c>
      <c r="H29" s="295" t="e">
        <f>#REF!</f>
        <v>#REF!</v>
      </c>
      <c r="I29" s="296" t="e">
        <f t="shared" ref="I29" si="9">ROUNDUP(D29/(1+H29),0)</f>
        <v>#REF!</v>
      </c>
      <c r="J29" s="296" t="e">
        <f t="shared" ref="J29" si="10">B29*C29*I29</f>
        <v>#REF!</v>
      </c>
    </row>
    <row r="30" spans="1:39" ht="18.75" customHeight="1" x14ac:dyDescent="0.15">
      <c r="A30" s="288" t="s">
        <v>133</v>
      </c>
      <c r="B30" s="289"/>
      <c r="C30" s="289"/>
      <c r="D30" s="51"/>
      <c r="E30" s="51">
        <f>SUM(E26:E29)</f>
        <v>23326.560000000001</v>
      </c>
      <c r="F30" s="290"/>
      <c r="G30" s="297" t="s">
        <v>56</v>
      </c>
      <c r="H30" s="291"/>
      <c r="I30" s="292"/>
      <c r="J30" s="138" t="e">
        <f>SUM(J26:J28)</f>
        <v>#REF!</v>
      </c>
    </row>
    <row r="31" spans="1:39" x14ac:dyDescent="0.15">
      <c r="A31" s="315"/>
      <c r="C31" s="16"/>
      <c r="D31" s="49"/>
      <c r="E31" s="49"/>
      <c r="F31" s="316"/>
      <c r="G31" s="89"/>
      <c r="H31" s="89"/>
      <c r="I31" s="89"/>
      <c r="J31" s="89"/>
      <c r="K31" s="173"/>
      <c r="L31" s="173"/>
      <c r="M31" s="173"/>
      <c r="N31" s="173"/>
      <c r="O31" s="173"/>
      <c r="P31" s="173"/>
      <c r="Q31" s="173"/>
      <c r="R31" s="173"/>
      <c r="S31" s="173"/>
      <c r="T31" s="173"/>
      <c r="U31" s="173"/>
      <c r="V31" s="173"/>
      <c r="W31" s="173"/>
      <c r="X31" s="173"/>
      <c r="Y31" s="173"/>
      <c r="Z31" s="173"/>
      <c r="AA31" s="173"/>
      <c r="AB31" s="173"/>
      <c r="AC31" s="173"/>
      <c r="AD31" s="173"/>
      <c r="AE31" s="173"/>
      <c r="AF31" s="173"/>
      <c r="AG31" s="173"/>
      <c r="AH31" s="173"/>
      <c r="AI31" s="173"/>
      <c r="AJ31" s="173"/>
      <c r="AK31" s="173"/>
      <c r="AL31" s="173"/>
      <c r="AM31" s="173"/>
    </row>
    <row r="32" spans="1:39" s="89" customFormat="1" ht="29.25" customHeight="1" x14ac:dyDescent="0.15">
      <c r="A32" s="245" t="s">
        <v>88</v>
      </c>
      <c r="B32" s="225"/>
      <c r="C32" s="225"/>
      <c r="D32" s="226"/>
      <c r="E32" s="226"/>
      <c r="F32" s="98"/>
      <c r="G32" s="231" t="s">
        <v>56</v>
      </c>
      <c r="H32" s="246"/>
      <c r="I32" s="247"/>
      <c r="J32" s="247"/>
    </row>
    <row r="33" spans="1:10" s="89" customFormat="1" ht="29.25" customHeight="1" x14ac:dyDescent="0.15">
      <c r="A33" s="248" t="s">
        <v>153</v>
      </c>
      <c r="B33" s="227">
        <v>1</v>
      </c>
      <c r="C33" s="227">
        <v>1</v>
      </c>
      <c r="D33" s="86">
        <v>400</v>
      </c>
      <c r="E33" s="87">
        <f t="shared" ref="E33:E34" si="11">B33*C33*D33</f>
        <v>400</v>
      </c>
      <c r="F33" s="249"/>
      <c r="G33" s="231" t="s">
        <v>56</v>
      </c>
      <c r="H33" s="229" t="e">
        <f>#REF!</f>
        <v>#REF!</v>
      </c>
      <c r="I33" s="96" t="e">
        <f t="shared" ref="I33:I34" si="12">ROUNDUP(D33/(1+H33),0)</f>
        <v>#REF!</v>
      </c>
      <c r="J33" s="96" t="e">
        <f t="shared" ref="J33:J34" si="13">B33*C33*I33</f>
        <v>#REF!</v>
      </c>
    </row>
    <row r="34" spans="1:10" s="89" customFormat="1" ht="20.25" customHeight="1" x14ac:dyDescent="0.15">
      <c r="A34" s="248" t="s">
        <v>154</v>
      </c>
      <c r="B34" s="227">
        <v>1</v>
      </c>
      <c r="C34" s="227">
        <v>1</v>
      </c>
      <c r="D34" s="86">
        <v>28</v>
      </c>
      <c r="E34" s="87">
        <f t="shared" si="11"/>
        <v>28</v>
      </c>
      <c r="F34" s="249"/>
      <c r="G34" s="231" t="s">
        <v>56</v>
      </c>
      <c r="H34" s="229" t="e">
        <f>#REF!</f>
        <v>#REF!</v>
      </c>
      <c r="I34" s="96" t="e">
        <f t="shared" si="12"/>
        <v>#REF!</v>
      </c>
      <c r="J34" s="96" t="e">
        <f t="shared" si="13"/>
        <v>#REF!</v>
      </c>
    </row>
    <row r="35" spans="1:10" s="89" customFormat="1" ht="21.75" customHeight="1" x14ac:dyDescent="0.15">
      <c r="A35" s="241" t="s">
        <v>155</v>
      </c>
      <c r="B35" s="227">
        <v>1</v>
      </c>
      <c r="C35" s="227">
        <v>0</v>
      </c>
      <c r="D35" s="86">
        <v>100</v>
      </c>
      <c r="E35" s="87">
        <f t="shared" ref="E35" si="14">B35*C35*D35</f>
        <v>0</v>
      </c>
      <c r="F35" s="249"/>
      <c r="G35" s="231" t="s">
        <v>56</v>
      </c>
      <c r="H35" s="229" t="e">
        <f>#REF!</f>
        <v>#REF!</v>
      </c>
      <c r="I35" s="96" t="e">
        <f t="shared" ref="I35:I36" si="15">ROUNDUP(D35/(1+H35),0)</f>
        <v>#REF!</v>
      </c>
      <c r="J35" s="96" t="e">
        <f t="shared" ref="J35:J36" si="16">B35*C35*I35</f>
        <v>#REF!</v>
      </c>
    </row>
    <row r="36" spans="1:10" s="89" customFormat="1" ht="21.75" customHeight="1" x14ac:dyDescent="0.15">
      <c r="A36" s="242" t="s">
        <v>89</v>
      </c>
      <c r="B36" s="227"/>
      <c r="C36" s="227"/>
      <c r="D36" s="86"/>
      <c r="E36" s="87"/>
      <c r="F36" s="249"/>
      <c r="G36" s="231" t="s">
        <v>56</v>
      </c>
      <c r="H36" s="229" t="e">
        <f>#REF!</f>
        <v>#REF!</v>
      </c>
      <c r="I36" s="96" t="e">
        <f t="shared" si="15"/>
        <v>#REF!</v>
      </c>
      <c r="J36" s="96" t="e">
        <f t="shared" si="16"/>
        <v>#REF!</v>
      </c>
    </row>
    <row r="37" spans="1:10" s="89" customFormat="1" ht="33.75" customHeight="1" x14ac:dyDescent="0.15">
      <c r="A37" s="241" t="s">
        <v>98</v>
      </c>
      <c r="B37" s="227">
        <v>1</v>
      </c>
      <c r="C37" s="227">
        <v>1</v>
      </c>
      <c r="D37" s="86">
        <v>364</v>
      </c>
      <c r="E37" s="87">
        <f t="shared" ref="E37:E40" si="17">B37*C37*D37</f>
        <v>364</v>
      </c>
      <c r="F37" s="250"/>
      <c r="G37" s="48" t="s">
        <v>56</v>
      </c>
      <c r="H37" s="229" t="e">
        <f>#REF!</f>
        <v>#REF!</v>
      </c>
      <c r="I37" s="96" t="e">
        <f t="shared" ref="I37:I38" si="18">ROUNDUP(D37/(1+H37),0)</f>
        <v>#REF!</v>
      </c>
      <c r="J37" s="96" t="e">
        <f t="shared" ref="J37:J38" si="19">B37*C37*I37</f>
        <v>#REF!</v>
      </c>
    </row>
    <row r="38" spans="1:10" s="89" customFormat="1" ht="28.5" customHeight="1" x14ac:dyDescent="0.15">
      <c r="A38" s="241" t="s">
        <v>131</v>
      </c>
      <c r="B38" s="227">
        <v>0</v>
      </c>
      <c r="C38" s="227">
        <v>0</v>
      </c>
      <c r="D38" s="86">
        <v>68</v>
      </c>
      <c r="E38" s="87">
        <f t="shared" si="17"/>
        <v>0</v>
      </c>
      <c r="F38" s="228"/>
      <c r="G38" s="48" t="s">
        <v>56</v>
      </c>
      <c r="H38" s="229" t="e">
        <f>#REF!</f>
        <v>#REF!</v>
      </c>
      <c r="I38" s="96" t="e">
        <f t="shared" si="18"/>
        <v>#REF!</v>
      </c>
      <c r="J38" s="96" t="e">
        <f t="shared" si="19"/>
        <v>#REF!</v>
      </c>
    </row>
    <row r="39" spans="1:10" s="89" customFormat="1" ht="24.75" customHeight="1" x14ac:dyDescent="0.15">
      <c r="A39" s="241" t="s">
        <v>118</v>
      </c>
      <c r="B39" s="227">
        <v>1</v>
      </c>
      <c r="C39" s="227">
        <v>18</v>
      </c>
      <c r="D39" s="86">
        <v>10</v>
      </c>
      <c r="E39" s="87">
        <f t="shared" si="17"/>
        <v>180</v>
      </c>
      <c r="F39" s="270" t="s">
        <v>117</v>
      </c>
      <c r="G39" s="48" t="s">
        <v>56</v>
      </c>
      <c r="H39" s="229" t="e">
        <f>#REF!</f>
        <v>#REF!</v>
      </c>
      <c r="I39" s="96" t="e">
        <f t="shared" ref="I39" si="20">ROUNDUP(D39/(1+H39),0)</f>
        <v>#REF!</v>
      </c>
      <c r="J39" s="96" t="e">
        <f t="shared" ref="J39" si="21">B39*C39*I39</f>
        <v>#REF!</v>
      </c>
    </row>
    <row r="40" spans="1:10" s="89" customFormat="1" ht="26.25" customHeight="1" x14ac:dyDescent="0.15">
      <c r="A40" s="241" t="s">
        <v>85</v>
      </c>
      <c r="B40" s="227">
        <v>1</v>
      </c>
      <c r="C40" s="227">
        <v>18</v>
      </c>
      <c r="D40" s="86">
        <v>5</v>
      </c>
      <c r="E40" s="87">
        <f t="shared" si="17"/>
        <v>90</v>
      </c>
      <c r="F40" s="228"/>
      <c r="G40" s="48" t="s">
        <v>56</v>
      </c>
      <c r="H40" s="229" t="e">
        <f>#REF!</f>
        <v>#REF!</v>
      </c>
      <c r="I40" s="96" t="e">
        <f t="shared" ref="I40" si="22">ROUNDUP(D40/(1+H40),0)</f>
        <v>#REF!</v>
      </c>
      <c r="J40" s="96" t="e">
        <f t="shared" ref="J40" si="23">B40*C40*I40</f>
        <v>#REF!</v>
      </c>
    </row>
    <row r="41" spans="1:10" s="19" customFormat="1" ht="22" customHeight="1" x14ac:dyDescent="0.15">
      <c r="A41" s="56" t="s">
        <v>112</v>
      </c>
      <c r="B41" s="56"/>
      <c r="C41" s="56"/>
      <c r="D41" s="56"/>
      <c r="E41" s="56"/>
      <c r="F41" s="56"/>
      <c r="G41" s="174" t="s">
        <v>56</v>
      </c>
      <c r="H41" s="56"/>
      <c r="I41" s="56"/>
      <c r="J41" s="56"/>
    </row>
    <row r="42" spans="1:10" s="89" customFormat="1" ht="43.5" customHeight="1" x14ac:dyDescent="0.15">
      <c r="A42" s="332" t="s">
        <v>116</v>
      </c>
      <c r="B42" s="333"/>
      <c r="C42" s="333"/>
      <c r="D42" s="333"/>
      <c r="E42" s="333"/>
      <c r="F42" s="334"/>
      <c r="G42" s="231" t="s">
        <v>56</v>
      </c>
      <c r="H42" s="229" t="e">
        <f>#REF!</f>
        <v>#REF!</v>
      </c>
      <c r="I42" s="96" t="e">
        <f>ROUNDUP(D42/(1+H42),0)</f>
        <v>#REF!</v>
      </c>
      <c r="J42" s="96" t="e">
        <f>B42*C42*I42</f>
        <v>#REF!</v>
      </c>
    </row>
    <row r="43" spans="1:10" s="240" customFormat="1" ht="24" customHeight="1" x14ac:dyDescent="0.15">
      <c r="A43" s="234" t="s">
        <v>114</v>
      </c>
      <c r="B43" s="235"/>
      <c r="C43" s="235"/>
      <c r="D43" s="235"/>
      <c r="E43" s="235"/>
      <c r="F43" s="236"/>
      <c r="G43" s="237" t="s">
        <v>56</v>
      </c>
      <c r="H43" s="238" t="e">
        <f>#REF!</f>
        <v>#REF!</v>
      </c>
      <c r="I43" s="239" t="e">
        <f>ROUNDUP(D43/(1+H43),0)</f>
        <v>#REF!</v>
      </c>
      <c r="J43" s="239" t="e">
        <f>B43*C43*I43</f>
        <v>#REF!</v>
      </c>
    </row>
    <row r="44" spans="1:10" s="89" customFormat="1" ht="36" customHeight="1" x14ac:dyDescent="0.15">
      <c r="A44" s="241" t="s">
        <v>110</v>
      </c>
      <c r="B44" s="227">
        <v>1</v>
      </c>
      <c r="C44" s="227">
        <v>1</v>
      </c>
      <c r="D44" s="86">
        <v>315</v>
      </c>
      <c r="E44" s="87">
        <f t="shared" ref="E44" si="24">B44*C44*D44</f>
        <v>315</v>
      </c>
      <c r="F44" s="250"/>
      <c r="G44" s="231" t="s">
        <v>56</v>
      </c>
      <c r="H44" s="229" t="e">
        <f>#REF!</f>
        <v>#REF!</v>
      </c>
      <c r="I44" s="96" t="e">
        <f t="shared" ref="I44" si="25">ROUNDUP(D44/(1+H44),0)</f>
        <v>#REF!</v>
      </c>
      <c r="J44" s="96" t="e">
        <f t="shared" ref="J44" si="26">B44*C44*I44</f>
        <v>#REF!</v>
      </c>
    </row>
    <row r="45" spans="1:10" s="89" customFormat="1" ht="18" customHeight="1" x14ac:dyDescent="0.15">
      <c r="A45" s="241" t="s">
        <v>109</v>
      </c>
      <c r="B45" s="227">
        <v>1</v>
      </c>
      <c r="C45" s="227">
        <v>18</v>
      </c>
      <c r="D45" s="86">
        <v>10</v>
      </c>
      <c r="E45" s="87">
        <f t="shared" ref="E45" si="27">B45*C45*D45</f>
        <v>180</v>
      </c>
      <c r="F45" s="250"/>
      <c r="G45" s="231" t="s">
        <v>56</v>
      </c>
      <c r="H45" s="229" t="e">
        <f>#REF!</f>
        <v>#REF!</v>
      </c>
      <c r="I45" s="96" t="e">
        <f t="shared" ref="I45" si="28">ROUNDUP(D45/(1+H45),0)</f>
        <v>#REF!</v>
      </c>
      <c r="J45" s="96" t="e">
        <f t="shared" ref="J45" si="29">B45*C45*I45</f>
        <v>#REF!</v>
      </c>
    </row>
    <row r="46" spans="1:10" s="240" customFormat="1" ht="18.75" customHeight="1" x14ac:dyDescent="0.15">
      <c r="A46" s="234" t="s">
        <v>122</v>
      </c>
      <c r="B46" s="235"/>
      <c r="C46" s="235"/>
      <c r="D46" s="235"/>
      <c r="E46" s="235"/>
      <c r="F46" s="236"/>
      <c r="G46" s="237" t="s">
        <v>56</v>
      </c>
      <c r="H46" s="236"/>
      <c r="I46" s="236"/>
      <c r="J46" s="236"/>
    </row>
    <row r="47" spans="1:10" s="89" customFormat="1" ht="38.25" customHeight="1" x14ac:dyDescent="0.15">
      <c r="A47" s="241" t="s">
        <v>156</v>
      </c>
      <c r="B47" s="227">
        <v>0</v>
      </c>
      <c r="C47" s="227">
        <v>18</v>
      </c>
      <c r="D47" s="86">
        <v>14</v>
      </c>
      <c r="E47" s="87">
        <f t="shared" ref="E47" si="30">B47*C47*D47</f>
        <v>0</v>
      </c>
      <c r="F47" s="243"/>
      <c r="G47" s="48" t="s">
        <v>56</v>
      </c>
      <c r="H47" s="238" t="e">
        <f>#REF!</f>
        <v>#REF!</v>
      </c>
      <c r="I47" s="239" t="e">
        <f t="shared" ref="I47" si="31">ROUNDUP(D47/(1+H47),0)</f>
        <v>#REF!</v>
      </c>
      <c r="J47" s="239" t="e">
        <f t="shared" ref="J47" si="32">B47*C47*I47</f>
        <v>#REF!</v>
      </c>
    </row>
    <row r="48" spans="1:10" s="240" customFormat="1" ht="26.25" customHeight="1" x14ac:dyDescent="0.15">
      <c r="A48" s="234" t="s">
        <v>180</v>
      </c>
      <c r="B48" s="235"/>
      <c r="C48" s="235"/>
      <c r="D48" s="235"/>
      <c r="E48" s="235"/>
      <c r="F48" s="236"/>
      <c r="G48" s="237" t="s">
        <v>56</v>
      </c>
      <c r="H48" s="236"/>
      <c r="I48" s="236"/>
      <c r="J48" s="236"/>
    </row>
    <row r="49" spans="1:39" s="89" customFormat="1" ht="75.75" customHeight="1" x14ac:dyDescent="0.15">
      <c r="A49" s="241" t="s">
        <v>184</v>
      </c>
      <c r="B49" s="227">
        <v>0</v>
      </c>
      <c r="C49" s="227">
        <v>1</v>
      </c>
      <c r="D49" s="86">
        <v>2353</v>
      </c>
      <c r="E49" s="87">
        <f t="shared" ref="E49" si="33">B49*C49*D49</f>
        <v>0</v>
      </c>
      <c r="F49" s="243" t="s">
        <v>181</v>
      </c>
      <c r="G49" s="48" t="s">
        <v>56</v>
      </c>
      <c r="H49" s="238" t="e">
        <f>#REF!</f>
        <v>#REF!</v>
      </c>
      <c r="I49" s="239" t="e">
        <f t="shared" ref="I49:I51" si="34">ROUNDUP(D49/(1+H49),0)</f>
        <v>#REF!</v>
      </c>
      <c r="J49" s="239" t="e">
        <f t="shared" ref="J49:J51" si="35">B49*C49*I49</f>
        <v>#REF!</v>
      </c>
    </row>
    <row r="50" spans="1:39" s="240" customFormat="1" ht="24.75" customHeight="1" x14ac:dyDescent="0.15">
      <c r="A50" s="234" t="s">
        <v>182</v>
      </c>
      <c r="B50" s="235"/>
      <c r="C50" s="235"/>
      <c r="D50" s="235"/>
      <c r="E50" s="235"/>
      <c r="F50" s="236"/>
      <c r="G50" s="237" t="s">
        <v>56</v>
      </c>
      <c r="H50" s="236"/>
      <c r="I50" s="236"/>
      <c r="J50" s="236"/>
    </row>
    <row r="51" spans="1:39" s="89" customFormat="1" ht="90" customHeight="1" x14ac:dyDescent="0.15">
      <c r="A51" s="241" t="s">
        <v>185</v>
      </c>
      <c r="B51" s="227">
        <v>0</v>
      </c>
      <c r="C51" s="227">
        <v>1</v>
      </c>
      <c r="D51" s="86">
        <v>5883</v>
      </c>
      <c r="E51" s="87">
        <f t="shared" ref="E51" si="36">B51*C51*D51</f>
        <v>0</v>
      </c>
      <c r="F51" s="243" t="s">
        <v>183</v>
      </c>
      <c r="G51" s="48" t="s">
        <v>56</v>
      </c>
      <c r="H51" s="238" t="e">
        <f>#REF!</f>
        <v>#REF!</v>
      </c>
      <c r="I51" s="239" t="e">
        <f t="shared" si="34"/>
        <v>#REF!</v>
      </c>
      <c r="J51" s="239" t="e">
        <f t="shared" si="35"/>
        <v>#REF!</v>
      </c>
    </row>
    <row r="52" spans="1:39" s="19" customFormat="1" ht="22" customHeight="1" x14ac:dyDescent="0.15">
      <c r="A52" s="56" t="s">
        <v>166</v>
      </c>
      <c r="B52" s="56"/>
      <c r="C52" s="56"/>
      <c r="D52" s="56"/>
      <c r="E52" s="56"/>
      <c r="F52" s="56"/>
      <c r="G52" s="174" t="s">
        <v>56</v>
      </c>
      <c r="H52" s="56"/>
      <c r="I52" s="56"/>
      <c r="J52" s="56"/>
    </row>
    <row r="53" spans="1:39" x14ac:dyDescent="0.15">
      <c r="A53" s="315"/>
      <c r="C53" s="16"/>
      <c r="D53" s="49"/>
      <c r="E53" s="49"/>
      <c r="F53" s="316"/>
      <c r="G53" s="89"/>
      <c r="H53" s="89"/>
      <c r="I53" s="89"/>
      <c r="J53" s="89"/>
      <c r="K53" s="173"/>
      <c r="L53" s="173"/>
      <c r="M53" s="173"/>
      <c r="N53" s="173"/>
      <c r="O53" s="173"/>
      <c r="P53" s="173"/>
      <c r="Q53" s="173"/>
      <c r="R53" s="173"/>
      <c r="S53" s="173"/>
      <c r="T53" s="173"/>
      <c r="U53" s="173"/>
      <c r="V53" s="173"/>
      <c r="W53" s="173"/>
      <c r="X53" s="173"/>
      <c r="Y53" s="173"/>
      <c r="Z53" s="173"/>
      <c r="AA53" s="173"/>
      <c r="AB53" s="173"/>
      <c r="AC53" s="173"/>
      <c r="AD53" s="173"/>
      <c r="AE53" s="173"/>
      <c r="AF53" s="173"/>
      <c r="AG53" s="173"/>
      <c r="AH53" s="173"/>
      <c r="AI53" s="173"/>
      <c r="AJ53" s="173"/>
      <c r="AK53" s="173"/>
      <c r="AL53" s="173"/>
      <c r="AM53" s="173"/>
    </row>
    <row r="54" spans="1:39" s="19" customFormat="1" ht="18.75" customHeight="1" x14ac:dyDescent="0.15">
      <c r="A54" s="56" t="s">
        <v>104</v>
      </c>
      <c r="B54" s="56"/>
      <c r="C54" s="56"/>
      <c r="D54" s="56"/>
      <c r="E54" s="56"/>
      <c r="F54" s="56"/>
      <c r="G54" s="174" t="s">
        <v>56</v>
      </c>
      <c r="H54" s="56"/>
      <c r="I54" s="56"/>
      <c r="J54" s="56"/>
    </row>
    <row r="55" spans="1:39" s="89" customFormat="1" ht="20" customHeight="1" x14ac:dyDescent="0.15">
      <c r="A55" s="252" t="s">
        <v>146</v>
      </c>
      <c r="B55" s="253"/>
      <c r="C55" s="253"/>
      <c r="D55" s="254"/>
      <c r="E55" s="253"/>
      <c r="F55" s="112"/>
      <c r="G55" s="231" t="s">
        <v>56</v>
      </c>
      <c r="H55" s="232"/>
      <c r="I55" s="233"/>
      <c r="J55" s="233"/>
    </row>
    <row r="56" spans="1:39" s="89" customFormat="1" ht="18.75" customHeight="1" x14ac:dyDescent="0.15">
      <c r="A56" s="241" t="s">
        <v>119</v>
      </c>
      <c r="B56" s="227">
        <v>1</v>
      </c>
      <c r="C56" s="227">
        <v>1</v>
      </c>
      <c r="D56" s="86">
        <v>527</v>
      </c>
      <c r="E56" s="87">
        <f>B56*C56*D56</f>
        <v>527</v>
      </c>
      <c r="F56" s="250" t="s">
        <v>92</v>
      </c>
      <c r="G56" s="231" t="s">
        <v>56</v>
      </c>
      <c r="H56" s="229" t="e">
        <f>#REF!</f>
        <v>#REF!</v>
      </c>
      <c r="I56" s="96" t="e">
        <f t="shared" ref="I56:I61" si="37">ROUNDUP(D56/(1+H56),0)</f>
        <v>#REF!</v>
      </c>
      <c r="J56" s="96" t="e">
        <f t="shared" ref="J56:J61" si="38">B56*C56*I56</f>
        <v>#REF!</v>
      </c>
    </row>
    <row r="57" spans="1:39" s="89" customFormat="1" ht="21" customHeight="1" x14ac:dyDescent="0.15">
      <c r="A57" s="241" t="s">
        <v>90</v>
      </c>
      <c r="B57" s="227">
        <v>1</v>
      </c>
      <c r="C57" s="227">
        <v>0</v>
      </c>
      <c r="D57" s="86">
        <v>68</v>
      </c>
      <c r="E57" s="87">
        <f>B57*C57*D57</f>
        <v>0</v>
      </c>
      <c r="F57" s="251"/>
      <c r="G57" s="231" t="s">
        <v>56</v>
      </c>
      <c r="H57" s="229" t="e">
        <f>#REF!</f>
        <v>#REF!</v>
      </c>
      <c r="I57" s="96" t="e">
        <f t="shared" si="37"/>
        <v>#REF!</v>
      </c>
      <c r="J57" s="96" t="e">
        <f t="shared" si="38"/>
        <v>#REF!</v>
      </c>
    </row>
    <row r="58" spans="1:39" s="89" customFormat="1" ht="20.25" customHeight="1" x14ac:dyDescent="0.15">
      <c r="A58" s="241" t="s">
        <v>109</v>
      </c>
      <c r="B58" s="227">
        <v>1</v>
      </c>
      <c r="C58" s="227">
        <v>18</v>
      </c>
      <c r="D58" s="86">
        <v>10</v>
      </c>
      <c r="E58" s="87">
        <f>B58*C58*D58</f>
        <v>180</v>
      </c>
      <c r="F58" s="250"/>
      <c r="G58" s="231" t="s">
        <v>56</v>
      </c>
      <c r="H58" s="229" t="e">
        <f>#REF!</f>
        <v>#REF!</v>
      </c>
      <c r="I58" s="96" t="e">
        <f t="shared" si="37"/>
        <v>#REF!</v>
      </c>
      <c r="J58" s="96" t="e">
        <f t="shared" si="38"/>
        <v>#REF!</v>
      </c>
    </row>
    <row r="59" spans="1:39" s="89" customFormat="1" ht="18.75" customHeight="1" x14ac:dyDescent="0.15">
      <c r="A59" s="242" t="s">
        <v>95</v>
      </c>
      <c r="B59" s="227"/>
      <c r="C59" s="227"/>
      <c r="D59" s="86"/>
      <c r="E59" s="87"/>
      <c r="F59" s="249"/>
      <c r="G59" s="231" t="s">
        <v>56</v>
      </c>
      <c r="H59" s="229" t="e">
        <f>#REF!</f>
        <v>#REF!</v>
      </c>
      <c r="I59" s="96" t="e">
        <f t="shared" si="37"/>
        <v>#REF!</v>
      </c>
      <c r="J59" s="96" t="e">
        <f t="shared" si="38"/>
        <v>#REF!</v>
      </c>
    </row>
    <row r="60" spans="1:39" s="89" customFormat="1" ht="18.75" customHeight="1" x14ac:dyDescent="0.15">
      <c r="A60" s="241" t="s">
        <v>167</v>
      </c>
      <c r="B60" s="227">
        <v>1</v>
      </c>
      <c r="C60" s="227">
        <v>0</v>
      </c>
      <c r="D60" s="86">
        <v>663</v>
      </c>
      <c r="E60" s="87">
        <f>B60*C60*D60</f>
        <v>0</v>
      </c>
      <c r="F60" s="249"/>
      <c r="G60" s="231" t="s">
        <v>56</v>
      </c>
      <c r="H60" s="229" t="e">
        <f>#REF!</f>
        <v>#REF!</v>
      </c>
      <c r="I60" s="96" t="e">
        <f t="shared" si="37"/>
        <v>#REF!</v>
      </c>
      <c r="J60" s="96" t="e">
        <f t="shared" si="38"/>
        <v>#REF!</v>
      </c>
    </row>
    <row r="61" spans="1:39" s="89" customFormat="1" ht="18" customHeight="1" x14ac:dyDescent="0.15">
      <c r="A61" s="241" t="s">
        <v>124</v>
      </c>
      <c r="B61" s="227">
        <v>1</v>
      </c>
      <c r="C61" s="227">
        <v>1</v>
      </c>
      <c r="D61" s="86">
        <v>225</v>
      </c>
      <c r="E61" s="87">
        <f>B61*C61*D61</f>
        <v>225</v>
      </c>
      <c r="F61" s="249"/>
      <c r="G61" s="231" t="s">
        <v>56</v>
      </c>
      <c r="H61" s="229" t="e">
        <f>#REF!</f>
        <v>#REF!</v>
      </c>
      <c r="I61" s="96" t="e">
        <f t="shared" si="37"/>
        <v>#REF!</v>
      </c>
      <c r="J61" s="96" t="e">
        <f t="shared" si="38"/>
        <v>#REF!</v>
      </c>
    </row>
    <row r="62" spans="1:39" s="89" customFormat="1" ht="21" customHeight="1" x14ac:dyDescent="0.15">
      <c r="A62" s="241" t="s">
        <v>85</v>
      </c>
      <c r="B62" s="227">
        <v>1</v>
      </c>
      <c r="C62" s="227">
        <v>18</v>
      </c>
      <c r="D62" s="86">
        <v>5</v>
      </c>
      <c r="E62" s="87">
        <f t="shared" ref="E62" si="39">B62*C62*D62</f>
        <v>90</v>
      </c>
      <c r="F62" s="228"/>
      <c r="G62" s="48" t="s">
        <v>56</v>
      </c>
      <c r="H62" s="229" t="e">
        <f>#REF!</f>
        <v>#REF!</v>
      </c>
      <c r="I62" s="96" t="e">
        <f t="shared" ref="I62" si="40">ROUNDUP(D62/(1+H62),0)</f>
        <v>#REF!</v>
      </c>
      <c r="J62" s="96" t="e">
        <f t="shared" ref="J62" si="41">B62*C62*I62</f>
        <v>#REF!</v>
      </c>
    </row>
    <row r="63" spans="1:39" s="19" customFormat="1" ht="22" customHeight="1" x14ac:dyDescent="0.15">
      <c r="A63" s="56" t="s">
        <v>113</v>
      </c>
      <c r="B63" s="56"/>
      <c r="C63" s="56"/>
      <c r="D63" s="56"/>
      <c r="E63" s="56"/>
      <c r="F63" s="56"/>
      <c r="G63" s="174" t="s">
        <v>56</v>
      </c>
      <c r="H63" s="56"/>
      <c r="I63" s="56"/>
      <c r="J63" s="56"/>
    </row>
    <row r="64" spans="1:39" s="240" customFormat="1" ht="19.5" customHeight="1" x14ac:dyDescent="0.15">
      <c r="A64" s="234" t="s">
        <v>147</v>
      </c>
      <c r="B64" s="235"/>
      <c r="C64" s="235"/>
      <c r="D64" s="235"/>
      <c r="E64" s="235"/>
      <c r="F64" s="236"/>
      <c r="G64" s="237" t="s">
        <v>56</v>
      </c>
      <c r="H64" s="236"/>
      <c r="I64" s="236"/>
      <c r="J64" s="236"/>
    </row>
    <row r="65" spans="1:10" s="89" customFormat="1" ht="42" customHeight="1" x14ac:dyDescent="0.15">
      <c r="A65" s="332" t="s">
        <v>111</v>
      </c>
      <c r="B65" s="333"/>
      <c r="C65" s="333"/>
      <c r="D65" s="333"/>
      <c r="E65" s="333"/>
      <c r="F65" s="334"/>
      <c r="G65" s="231" t="s">
        <v>56</v>
      </c>
      <c r="H65" s="229" t="e">
        <f>#REF!</f>
        <v>#REF!</v>
      </c>
      <c r="I65" s="96" t="e">
        <f>ROUNDUP(D65/(1+H65),0)</f>
        <v>#REF!</v>
      </c>
      <c r="J65" s="96" t="e">
        <f>B65*C65*I65</f>
        <v>#REF!</v>
      </c>
    </row>
    <row r="66" spans="1:10" s="89" customFormat="1" ht="303.75" customHeight="1" x14ac:dyDescent="0.15">
      <c r="A66" s="241" t="s">
        <v>168</v>
      </c>
      <c r="B66" s="227">
        <v>1</v>
      </c>
      <c r="C66" s="227">
        <v>0</v>
      </c>
      <c r="D66" s="86">
        <v>18824</v>
      </c>
      <c r="E66" s="87">
        <f t="shared" ref="E66:E67" si="42">B66*C66*D66</f>
        <v>0</v>
      </c>
      <c r="F66" s="243" t="s">
        <v>120</v>
      </c>
      <c r="G66" s="48" t="s">
        <v>56</v>
      </c>
      <c r="H66" s="238" t="e">
        <f>#REF!</f>
        <v>#REF!</v>
      </c>
      <c r="I66" s="239" t="e">
        <f t="shared" ref="I66:I67" si="43">ROUNDUP(D66/(1+H66),0)</f>
        <v>#REF!</v>
      </c>
      <c r="J66" s="239" t="e">
        <f t="shared" ref="J66:J67" si="44">B66*C66*I66</f>
        <v>#REF!</v>
      </c>
    </row>
    <row r="67" spans="1:10" s="89" customFormat="1" ht="30" customHeight="1" x14ac:dyDescent="0.15">
      <c r="A67" s="242" t="s">
        <v>87</v>
      </c>
      <c r="B67" s="227">
        <v>0</v>
      </c>
      <c r="C67" s="227">
        <v>1</v>
      </c>
      <c r="D67" s="86">
        <v>2500</v>
      </c>
      <c r="E67" s="87">
        <f t="shared" si="42"/>
        <v>0</v>
      </c>
      <c r="F67" s="228"/>
      <c r="G67" s="48" t="s">
        <v>56</v>
      </c>
      <c r="H67" s="238" t="e">
        <f>#REF!</f>
        <v>#REF!</v>
      </c>
      <c r="I67" s="239" t="e">
        <f t="shared" si="43"/>
        <v>#REF!</v>
      </c>
      <c r="J67" s="239" t="e">
        <f t="shared" si="44"/>
        <v>#REF!</v>
      </c>
    </row>
    <row r="68" spans="1:10" s="89" customFormat="1" ht="21" customHeight="1" x14ac:dyDescent="0.15">
      <c r="A68" s="280" t="s">
        <v>141</v>
      </c>
      <c r="B68" s="260"/>
      <c r="C68" s="260"/>
      <c r="D68" s="261"/>
      <c r="E68" s="262"/>
      <c r="F68" s="263"/>
      <c r="G68" s="174" t="s">
        <v>56</v>
      </c>
      <c r="H68" s="264"/>
      <c r="I68" s="265"/>
      <c r="J68" s="265"/>
    </row>
    <row r="69" spans="1:10" s="148" customFormat="1" ht="36" customHeight="1" x14ac:dyDescent="0.15">
      <c r="A69" s="259" t="s">
        <v>97</v>
      </c>
      <c r="B69" s="22">
        <v>1</v>
      </c>
      <c r="C69" s="22">
        <v>18</v>
      </c>
      <c r="D69" s="257">
        <v>75</v>
      </c>
      <c r="E69" s="87">
        <f>B69*C69*D69</f>
        <v>1350</v>
      </c>
      <c r="F69" s="276"/>
      <c r="G69" s="48" t="s">
        <v>56</v>
      </c>
    </row>
    <row r="70" spans="1:10" ht="24.75" customHeight="1" x14ac:dyDescent="0.15">
      <c r="A70" s="255" t="s">
        <v>112</v>
      </c>
      <c r="B70" s="27"/>
      <c r="C70" s="27"/>
      <c r="D70" s="258"/>
      <c r="E70" s="258"/>
      <c r="F70" s="256"/>
      <c r="G70" s="48" t="s">
        <v>56</v>
      </c>
      <c r="H70" s="56"/>
      <c r="I70" s="56"/>
      <c r="J70" s="56"/>
    </row>
    <row r="71" spans="1:10" s="89" customFormat="1" ht="36" customHeight="1" x14ac:dyDescent="0.15">
      <c r="A71" s="332" t="s">
        <v>171</v>
      </c>
      <c r="B71" s="333"/>
      <c r="C71" s="333"/>
      <c r="D71" s="333"/>
      <c r="E71" s="333"/>
      <c r="F71" s="334"/>
      <c r="G71" s="231" t="s">
        <v>56</v>
      </c>
      <c r="H71" s="229" t="e">
        <f>#REF!</f>
        <v>#REF!</v>
      </c>
      <c r="I71" s="96" t="e">
        <f>ROUNDUP(D71/(1+H71),0)</f>
        <v>#REF!</v>
      </c>
      <c r="J71" s="96" t="e">
        <f>B71*C71*I71</f>
        <v>#REF!</v>
      </c>
    </row>
    <row r="72" spans="1:10" s="89" customFormat="1" ht="28.5" customHeight="1" x14ac:dyDescent="0.15">
      <c r="A72" s="241" t="s">
        <v>172</v>
      </c>
      <c r="B72" s="227">
        <v>1</v>
      </c>
      <c r="C72" s="227">
        <v>18</v>
      </c>
      <c r="D72" s="86">
        <v>20</v>
      </c>
      <c r="E72" s="87">
        <f t="shared" ref="E72" si="45">B72*C72*D72</f>
        <v>360</v>
      </c>
      <c r="F72" s="298" t="s">
        <v>173</v>
      </c>
      <c r="G72" s="48" t="s">
        <v>56</v>
      </c>
      <c r="H72" s="229" t="e">
        <f>#REF!</f>
        <v>#REF!</v>
      </c>
      <c r="I72" s="96" t="e">
        <f t="shared" ref="I72" si="46">ROUNDUP(D72/(1+H72),0)</f>
        <v>#REF!</v>
      </c>
      <c r="J72" s="96" t="e">
        <f t="shared" ref="J72" si="47">B72*C72*I72</f>
        <v>#REF!</v>
      </c>
    </row>
    <row r="73" spans="1:10" s="89" customFormat="1" ht="22.5" customHeight="1" x14ac:dyDescent="0.15">
      <c r="A73" s="241" t="s">
        <v>169</v>
      </c>
      <c r="B73" s="227">
        <v>0</v>
      </c>
      <c r="C73" s="227">
        <v>18</v>
      </c>
      <c r="D73" s="86">
        <v>10</v>
      </c>
      <c r="E73" s="87">
        <f t="shared" ref="E73:E74" si="48">B73*C73*D73</f>
        <v>0</v>
      </c>
      <c r="F73" s="228"/>
      <c r="G73" s="48" t="s">
        <v>56</v>
      </c>
      <c r="H73" s="229" t="e">
        <f>#REF!</f>
        <v>#REF!</v>
      </c>
      <c r="I73" s="96" t="e">
        <f t="shared" ref="I73:I74" si="49">ROUNDUP(D73/(1+H73),0)</f>
        <v>#REF!</v>
      </c>
      <c r="J73" s="96" t="e">
        <f t="shared" ref="J73:J74" si="50">B73*C73*I73</f>
        <v>#REF!</v>
      </c>
    </row>
    <row r="74" spans="1:10" s="89" customFormat="1" ht="22.5" customHeight="1" x14ac:dyDescent="0.15">
      <c r="A74" s="241" t="s">
        <v>170</v>
      </c>
      <c r="B74" s="227">
        <v>0</v>
      </c>
      <c r="C74" s="227">
        <v>18</v>
      </c>
      <c r="D74" s="86">
        <v>20</v>
      </c>
      <c r="E74" s="87">
        <f t="shared" si="48"/>
        <v>0</v>
      </c>
      <c r="F74" s="228"/>
      <c r="G74" s="48" t="s">
        <v>56</v>
      </c>
      <c r="H74" s="229" t="e">
        <f>#REF!</f>
        <v>#REF!</v>
      </c>
      <c r="I74" s="96" t="e">
        <f t="shared" si="49"/>
        <v>#REF!</v>
      </c>
      <c r="J74" s="96" t="e">
        <f t="shared" si="50"/>
        <v>#REF!</v>
      </c>
    </row>
    <row r="75" spans="1:10" s="89" customFormat="1" ht="22.5" customHeight="1" x14ac:dyDescent="0.15">
      <c r="A75" s="241" t="s">
        <v>86</v>
      </c>
      <c r="B75" s="227">
        <v>1</v>
      </c>
      <c r="C75" s="227">
        <v>18</v>
      </c>
      <c r="D75" s="86">
        <v>13</v>
      </c>
      <c r="E75" s="87">
        <f t="shared" ref="E75:E76" si="51">B75*C75*D75</f>
        <v>234</v>
      </c>
      <c r="F75" s="228"/>
      <c r="G75" s="48" t="s">
        <v>56</v>
      </c>
      <c r="H75" s="229" t="e">
        <f>#REF!</f>
        <v>#REF!</v>
      </c>
      <c r="I75" s="96" t="e">
        <f t="shared" ref="I75:I76" si="52">ROUNDUP(D75/(1+H75),0)</f>
        <v>#REF!</v>
      </c>
      <c r="J75" s="96" t="e">
        <f t="shared" ref="J75:J76" si="53">B75*C75*I75</f>
        <v>#REF!</v>
      </c>
    </row>
    <row r="76" spans="1:10" s="89" customFormat="1" ht="30" customHeight="1" x14ac:dyDescent="0.15">
      <c r="A76" s="242" t="s">
        <v>158</v>
      </c>
      <c r="B76" s="227">
        <v>0</v>
      </c>
      <c r="C76" s="227">
        <v>3</v>
      </c>
      <c r="D76" s="86">
        <v>1000</v>
      </c>
      <c r="E76" s="87">
        <f t="shared" si="51"/>
        <v>0</v>
      </c>
      <c r="F76" s="228"/>
      <c r="G76" s="48" t="s">
        <v>56</v>
      </c>
      <c r="H76" s="238" t="e">
        <f>#REF!</f>
        <v>#REF!</v>
      </c>
      <c r="I76" s="239" t="e">
        <f t="shared" si="52"/>
        <v>#REF!</v>
      </c>
      <c r="J76" s="239" t="e">
        <f t="shared" si="53"/>
        <v>#REF!</v>
      </c>
    </row>
    <row r="77" spans="1:10" s="19" customFormat="1" ht="22" customHeight="1" x14ac:dyDescent="0.15">
      <c r="A77" s="56" t="s">
        <v>102</v>
      </c>
      <c r="B77" s="56"/>
      <c r="C77" s="56"/>
      <c r="D77" s="56"/>
      <c r="E77" s="56"/>
      <c r="F77" s="56"/>
      <c r="G77" s="174" t="s">
        <v>56</v>
      </c>
      <c r="H77" s="56"/>
      <c r="I77" s="56"/>
      <c r="J77" s="56"/>
    </row>
    <row r="78" spans="1:10" s="89" customFormat="1" ht="21.75" customHeight="1" x14ac:dyDescent="0.15">
      <c r="A78" s="248" t="s">
        <v>159</v>
      </c>
      <c r="B78" s="227">
        <v>1</v>
      </c>
      <c r="C78" s="227">
        <v>0</v>
      </c>
      <c r="D78" s="86">
        <v>999</v>
      </c>
      <c r="E78" s="87">
        <f t="shared" ref="E78" si="54">B78*C78*D78</f>
        <v>0</v>
      </c>
      <c r="F78" s="250" t="s">
        <v>130</v>
      </c>
      <c r="G78" s="231" t="s">
        <v>56</v>
      </c>
      <c r="H78" s="229" t="e">
        <f>#REF!</f>
        <v>#REF!</v>
      </c>
      <c r="I78" s="96" t="e">
        <f t="shared" ref="I78:I79" si="55">ROUNDUP(D78/(1+H78),0)</f>
        <v>#REF!</v>
      </c>
      <c r="J78" s="96" t="e">
        <f t="shared" ref="J78:J79" si="56">B78*C78*I78</f>
        <v>#REF!</v>
      </c>
    </row>
    <row r="79" spans="1:10" s="89" customFormat="1" ht="21.75" customHeight="1" x14ac:dyDescent="0.15">
      <c r="A79" s="266" t="s">
        <v>101</v>
      </c>
      <c r="B79" s="227"/>
      <c r="C79" s="227"/>
      <c r="D79" s="86"/>
      <c r="E79" s="87"/>
      <c r="F79" s="249"/>
      <c r="G79" s="231" t="s">
        <v>56</v>
      </c>
      <c r="H79" s="229" t="e">
        <f>#REF!</f>
        <v>#REF!</v>
      </c>
      <c r="I79" s="96" t="e">
        <f t="shared" si="55"/>
        <v>#REF!</v>
      </c>
      <c r="J79" s="96" t="e">
        <f t="shared" si="56"/>
        <v>#REF!</v>
      </c>
    </row>
    <row r="80" spans="1:10" s="19" customFormat="1" ht="22" customHeight="1" x14ac:dyDescent="0.15">
      <c r="A80" s="56" t="s">
        <v>100</v>
      </c>
      <c r="B80" s="56"/>
      <c r="C80" s="56"/>
      <c r="D80" s="56"/>
      <c r="E80" s="56"/>
      <c r="F80" s="56"/>
      <c r="G80" s="174" t="s">
        <v>56</v>
      </c>
      <c r="H80" s="56"/>
      <c r="I80" s="56"/>
      <c r="J80" s="56"/>
    </row>
    <row r="81" spans="1:39" s="89" customFormat="1" ht="28.5" customHeight="1" x14ac:dyDescent="0.15">
      <c r="A81" s="241" t="s">
        <v>103</v>
      </c>
      <c r="B81" s="97">
        <v>1</v>
      </c>
      <c r="C81" s="97">
        <v>1</v>
      </c>
      <c r="D81" s="88">
        <v>373</v>
      </c>
      <c r="E81" s="88">
        <f t="shared" ref="E81:E83" si="57">B81*C81*D81</f>
        <v>373</v>
      </c>
      <c r="F81" s="250"/>
      <c r="G81" s="231" t="s">
        <v>56</v>
      </c>
      <c r="H81" s="229" t="e">
        <f>#REF!</f>
        <v>#REF!</v>
      </c>
      <c r="I81" s="96" t="e">
        <f t="shared" ref="I81:I84" si="58">ROUNDUP(D81/(1+H81),0)</f>
        <v>#REF!</v>
      </c>
      <c r="J81" s="96" t="e">
        <f t="shared" ref="J81:J84" si="59">B81*C81*I81</f>
        <v>#REF!</v>
      </c>
    </row>
    <row r="82" spans="1:39" s="89" customFormat="1" ht="25.5" customHeight="1" x14ac:dyDescent="0.15">
      <c r="A82" s="241" t="s">
        <v>90</v>
      </c>
      <c r="B82" s="227">
        <v>1</v>
      </c>
      <c r="C82" s="227">
        <v>0</v>
      </c>
      <c r="D82" s="86">
        <v>68</v>
      </c>
      <c r="E82" s="87">
        <f t="shared" si="57"/>
        <v>0</v>
      </c>
      <c r="F82" s="251"/>
      <c r="G82" s="231" t="s">
        <v>56</v>
      </c>
      <c r="H82" s="229" t="e">
        <f>#REF!</f>
        <v>#REF!</v>
      </c>
      <c r="I82" s="96" t="e">
        <f t="shared" si="58"/>
        <v>#REF!</v>
      </c>
      <c r="J82" s="96" t="e">
        <f t="shared" si="59"/>
        <v>#REF!</v>
      </c>
    </row>
    <row r="83" spans="1:39" s="89" customFormat="1" ht="23.25" customHeight="1" x14ac:dyDescent="0.15">
      <c r="A83" s="241" t="s">
        <v>91</v>
      </c>
      <c r="B83" s="227">
        <v>1</v>
      </c>
      <c r="C83" s="227">
        <v>0</v>
      </c>
      <c r="D83" s="86">
        <v>72</v>
      </c>
      <c r="E83" s="87">
        <f t="shared" si="57"/>
        <v>0</v>
      </c>
      <c r="F83" s="251"/>
      <c r="G83" s="231" t="s">
        <v>56</v>
      </c>
      <c r="H83" s="229" t="e">
        <f>#REF!</f>
        <v>#REF!</v>
      </c>
      <c r="I83" s="96" t="e">
        <f t="shared" si="58"/>
        <v>#REF!</v>
      </c>
      <c r="J83" s="96" t="e">
        <f t="shared" si="59"/>
        <v>#REF!</v>
      </c>
    </row>
    <row r="84" spans="1:39" s="89" customFormat="1" ht="21.75" customHeight="1" x14ac:dyDescent="0.15">
      <c r="A84" s="242" t="s">
        <v>95</v>
      </c>
      <c r="B84" s="227"/>
      <c r="C84" s="227"/>
      <c r="D84" s="86"/>
      <c r="E84" s="87"/>
      <c r="F84" s="249"/>
      <c r="G84" s="231" t="s">
        <v>56</v>
      </c>
      <c r="H84" s="229" t="e">
        <f>#REF!</f>
        <v>#REF!</v>
      </c>
      <c r="I84" s="96" t="e">
        <f t="shared" si="58"/>
        <v>#REF!</v>
      </c>
      <c r="J84" s="96" t="e">
        <f t="shared" si="59"/>
        <v>#REF!</v>
      </c>
    </row>
    <row r="85" spans="1:39" s="89" customFormat="1" ht="24" customHeight="1" x14ac:dyDescent="0.15">
      <c r="A85" s="280" t="s">
        <v>174</v>
      </c>
      <c r="B85" s="260"/>
      <c r="C85" s="260"/>
      <c r="D85" s="261"/>
      <c r="E85" s="262"/>
      <c r="F85" s="263"/>
      <c r="G85" s="174" t="s">
        <v>56</v>
      </c>
      <c r="H85" s="264"/>
      <c r="I85" s="265"/>
      <c r="J85" s="265"/>
    </row>
    <row r="86" spans="1:39" s="89" customFormat="1" ht="29.25" customHeight="1" x14ac:dyDescent="0.15">
      <c r="A86" s="299" t="s">
        <v>157</v>
      </c>
      <c r="B86" s="97">
        <v>1</v>
      </c>
      <c r="C86" s="97">
        <v>18</v>
      </c>
      <c r="D86" s="278">
        <v>94</v>
      </c>
      <c r="E86" s="88">
        <f>B86*C86*D86</f>
        <v>1692</v>
      </c>
      <c r="F86" s="250" t="s">
        <v>176</v>
      </c>
      <c r="G86" s="231" t="s">
        <v>56</v>
      </c>
      <c r="H86" s="229" t="e">
        <f>#REF!</f>
        <v>#REF!</v>
      </c>
      <c r="I86" s="96" t="e">
        <f>ROUNDUP(D86/(1+H86),0)</f>
        <v>#REF!</v>
      </c>
      <c r="J86" s="96" t="e">
        <f>B86*C86*I86</f>
        <v>#REF!</v>
      </c>
    </row>
    <row r="87" spans="1:39" x14ac:dyDescent="0.15">
      <c r="A87" s="315"/>
      <c r="C87" s="16"/>
      <c r="D87" s="49"/>
      <c r="E87" s="49"/>
      <c r="F87" s="316"/>
      <c r="G87" s="89"/>
      <c r="H87" s="89"/>
      <c r="I87" s="89"/>
      <c r="J87" s="89"/>
      <c r="K87" s="173"/>
      <c r="L87" s="173"/>
      <c r="M87" s="173"/>
      <c r="N87" s="173"/>
      <c r="O87" s="173"/>
      <c r="P87" s="173"/>
      <c r="Q87" s="173"/>
      <c r="R87" s="173"/>
      <c r="S87" s="173"/>
      <c r="T87" s="173"/>
      <c r="U87" s="173"/>
      <c r="V87" s="173"/>
      <c r="W87" s="173"/>
      <c r="X87" s="173"/>
      <c r="Y87" s="173"/>
      <c r="Z87" s="173"/>
      <c r="AA87" s="173"/>
      <c r="AB87" s="173"/>
      <c r="AC87" s="173"/>
      <c r="AD87" s="173"/>
      <c r="AE87" s="173"/>
      <c r="AF87" s="173"/>
      <c r="AG87" s="173"/>
      <c r="AH87" s="173"/>
      <c r="AI87" s="173"/>
      <c r="AJ87" s="173"/>
      <c r="AK87" s="173"/>
      <c r="AL87" s="173"/>
      <c r="AM87" s="173"/>
    </row>
    <row r="88" spans="1:39" s="19" customFormat="1" ht="21" customHeight="1" x14ac:dyDescent="0.15">
      <c r="A88" s="56" t="s">
        <v>105</v>
      </c>
      <c r="B88" s="56"/>
      <c r="C88" s="56"/>
      <c r="D88" s="56"/>
      <c r="E88" s="56"/>
      <c r="F88" s="56"/>
      <c r="G88" s="174" t="s">
        <v>56</v>
      </c>
      <c r="H88" s="56"/>
      <c r="I88" s="56"/>
      <c r="J88" s="56"/>
    </row>
    <row r="89" spans="1:39" s="240" customFormat="1" ht="21" customHeight="1" x14ac:dyDescent="0.15">
      <c r="A89" s="282" t="s">
        <v>145</v>
      </c>
      <c r="B89" s="235"/>
      <c r="C89" s="235"/>
      <c r="D89" s="235"/>
      <c r="E89" s="235"/>
      <c r="F89" s="236"/>
      <c r="G89" s="237" t="s">
        <v>56</v>
      </c>
      <c r="H89" s="238" t="e">
        <f>#REF!</f>
        <v>#REF!</v>
      </c>
      <c r="I89" s="239" t="e">
        <f>ROUNDUP(D89/(1+H89),0)</f>
        <v>#REF!</v>
      </c>
      <c r="J89" s="239" t="e">
        <f>B89*C89*I89</f>
        <v>#REF!</v>
      </c>
    </row>
    <row r="90" spans="1:39" s="19" customFormat="1" ht="22" customHeight="1" x14ac:dyDescent="0.15">
      <c r="A90" s="56" t="s">
        <v>115</v>
      </c>
      <c r="B90" s="56"/>
      <c r="C90" s="56"/>
      <c r="D90" s="56"/>
      <c r="E90" s="56"/>
      <c r="F90" s="56"/>
      <c r="G90" s="174" t="s">
        <v>56</v>
      </c>
      <c r="H90" s="56"/>
      <c r="I90" s="56"/>
      <c r="J90" s="56"/>
    </row>
    <row r="91" spans="1:39" s="89" customFormat="1" ht="21.75" customHeight="1" x14ac:dyDescent="0.15">
      <c r="A91" s="241" t="s">
        <v>160</v>
      </c>
      <c r="B91" s="227">
        <v>1</v>
      </c>
      <c r="C91" s="227">
        <v>1</v>
      </c>
      <c r="D91" s="86">
        <v>965</v>
      </c>
      <c r="E91" s="87">
        <f>B91*C91*D91</f>
        <v>965</v>
      </c>
      <c r="F91" s="249"/>
      <c r="G91" s="231" t="s">
        <v>56</v>
      </c>
      <c r="H91" s="229" t="e">
        <f>#REF!</f>
        <v>#REF!</v>
      </c>
      <c r="I91" s="96" t="e">
        <f>ROUNDUP(D91/(1+H91),0)</f>
        <v>#REF!</v>
      </c>
      <c r="J91" s="96" t="e">
        <f>B91*C91*I91</f>
        <v>#REF!</v>
      </c>
    </row>
    <row r="92" spans="1:39" s="89" customFormat="1" ht="16.5" customHeight="1" x14ac:dyDescent="0.15">
      <c r="A92" s="241" t="s">
        <v>136</v>
      </c>
      <c r="B92" s="227">
        <v>1</v>
      </c>
      <c r="C92" s="227">
        <v>1</v>
      </c>
      <c r="D92" s="244">
        <v>50</v>
      </c>
      <c r="E92" s="87">
        <f>B92*C92*D92</f>
        <v>50</v>
      </c>
      <c r="F92" s="249"/>
      <c r="G92" s="231" t="s">
        <v>56</v>
      </c>
      <c r="H92" s="229" t="e">
        <f>#REF!</f>
        <v>#REF!</v>
      </c>
      <c r="I92" s="96" t="e">
        <f>ROUNDUP(D92/(1+H92),0)</f>
        <v>#REF!</v>
      </c>
      <c r="J92" s="96" t="e">
        <f>B92*C92*I92</f>
        <v>#REF!</v>
      </c>
    </row>
    <row r="93" spans="1:39" s="89" customFormat="1" ht="19.5" customHeight="1" x14ac:dyDescent="0.15">
      <c r="A93" s="242" t="s">
        <v>94</v>
      </c>
      <c r="B93" s="227"/>
      <c r="C93" s="227"/>
      <c r="D93" s="86"/>
      <c r="E93" s="87"/>
      <c r="F93" s="249"/>
      <c r="G93" s="231" t="s">
        <v>56</v>
      </c>
      <c r="H93" s="229" t="e">
        <f>#REF!</f>
        <v>#REF!</v>
      </c>
      <c r="I93" s="96" t="e">
        <f t="shared" ref="I93" si="60">ROUNDUP(D93/(1+H93),0)</f>
        <v>#REF!</v>
      </c>
      <c r="J93" s="96" t="e">
        <f t="shared" ref="J93" si="61">B93*C93*I93</f>
        <v>#REF!</v>
      </c>
    </row>
    <row r="94" spans="1:39" s="89" customFormat="1" ht="19.5" customHeight="1" x14ac:dyDescent="0.15">
      <c r="A94" s="241" t="s">
        <v>85</v>
      </c>
      <c r="B94" s="227">
        <v>1</v>
      </c>
      <c r="C94" s="227">
        <v>18</v>
      </c>
      <c r="D94" s="86">
        <v>5</v>
      </c>
      <c r="E94" s="87">
        <f t="shared" ref="E94:E97" si="62">B94*C94*D94</f>
        <v>90</v>
      </c>
      <c r="F94" s="228"/>
      <c r="G94" s="48" t="s">
        <v>56</v>
      </c>
      <c r="H94" s="229" t="e">
        <f>#REF!</f>
        <v>#REF!</v>
      </c>
      <c r="I94" s="96" t="e">
        <f t="shared" ref="I94:I98" si="63">ROUNDUP(D94/(1+H94),0)</f>
        <v>#REF!</v>
      </c>
      <c r="J94" s="96" t="e">
        <f t="shared" ref="J94:J98" si="64">B94*C94*I94</f>
        <v>#REF!</v>
      </c>
    </row>
    <row r="95" spans="1:39" s="89" customFormat="1" ht="21.75" customHeight="1" x14ac:dyDescent="0.15">
      <c r="A95" s="241" t="s">
        <v>96</v>
      </c>
      <c r="B95" s="227">
        <v>1</v>
      </c>
      <c r="C95" s="227">
        <v>1</v>
      </c>
      <c r="D95" s="86">
        <v>527</v>
      </c>
      <c r="E95" s="87">
        <f t="shared" si="62"/>
        <v>527</v>
      </c>
      <c r="F95" s="250"/>
      <c r="G95" s="231" t="s">
        <v>56</v>
      </c>
      <c r="H95" s="229" t="e">
        <f>#REF!</f>
        <v>#REF!</v>
      </c>
      <c r="I95" s="96" t="e">
        <f t="shared" si="63"/>
        <v>#REF!</v>
      </c>
      <c r="J95" s="96" t="e">
        <f t="shared" si="64"/>
        <v>#REF!</v>
      </c>
    </row>
    <row r="96" spans="1:39" s="89" customFormat="1" ht="19.5" customHeight="1" x14ac:dyDescent="0.15">
      <c r="A96" s="242" t="s">
        <v>95</v>
      </c>
      <c r="B96" s="227"/>
      <c r="C96" s="227"/>
      <c r="D96" s="86"/>
      <c r="E96" s="87"/>
      <c r="F96" s="249"/>
      <c r="G96" s="231" t="s">
        <v>56</v>
      </c>
      <c r="H96" s="229" t="e">
        <f>#REF!</f>
        <v>#REF!</v>
      </c>
      <c r="I96" s="96" t="e">
        <f t="shared" ref="I96" si="65">ROUNDUP(D96/(1+H96),0)</f>
        <v>#REF!</v>
      </c>
      <c r="J96" s="96" t="e">
        <f t="shared" ref="J96" si="66">B96*C96*I96</f>
        <v>#REF!</v>
      </c>
    </row>
    <row r="97" spans="1:10" s="89" customFormat="1" ht="15.75" customHeight="1" x14ac:dyDescent="0.15">
      <c r="A97" s="241" t="s">
        <v>90</v>
      </c>
      <c r="B97" s="227">
        <v>1</v>
      </c>
      <c r="C97" s="227">
        <v>0</v>
      </c>
      <c r="D97" s="86">
        <v>68</v>
      </c>
      <c r="E97" s="87">
        <f t="shared" si="62"/>
        <v>0</v>
      </c>
      <c r="F97" s="251"/>
      <c r="G97" s="231" t="s">
        <v>56</v>
      </c>
      <c r="H97" s="229" t="e">
        <f>#REF!</f>
        <v>#REF!</v>
      </c>
      <c r="I97" s="96" t="e">
        <f t="shared" si="63"/>
        <v>#REF!</v>
      </c>
      <c r="J97" s="96" t="e">
        <f t="shared" si="64"/>
        <v>#REF!</v>
      </c>
    </row>
    <row r="98" spans="1:10" s="89" customFormat="1" ht="20.25" customHeight="1" x14ac:dyDescent="0.15">
      <c r="A98" s="241" t="s">
        <v>109</v>
      </c>
      <c r="B98" s="227">
        <v>1</v>
      </c>
      <c r="C98" s="227">
        <v>18</v>
      </c>
      <c r="D98" s="86">
        <v>10</v>
      </c>
      <c r="E98" s="87">
        <f>B98*C98*D98</f>
        <v>180</v>
      </c>
      <c r="F98" s="250"/>
      <c r="G98" s="231" t="s">
        <v>56</v>
      </c>
      <c r="H98" s="229" t="e">
        <f>#REF!</f>
        <v>#REF!</v>
      </c>
      <c r="I98" s="96" t="e">
        <f t="shared" si="63"/>
        <v>#REF!</v>
      </c>
      <c r="J98" s="96" t="e">
        <f t="shared" si="64"/>
        <v>#REF!</v>
      </c>
    </row>
    <row r="99" spans="1:10" s="240" customFormat="1" ht="18.75" customHeight="1" x14ac:dyDescent="0.15">
      <c r="A99" s="234" t="s">
        <v>128</v>
      </c>
      <c r="B99" s="235"/>
      <c r="C99" s="235"/>
      <c r="D99" s="235"/>
      <c r="E99" s="235"/>
      <c r="F99" s="236"/>
      <c r="G99" s="237" t="s">
        <v>56</v>
      </c>
      <c r="H99" s="236"/>
      <c r="I99" s="236"/>
      <c r="J99" s="236"/>
    </row>
    <row r="100" spans="1:10" s="89" customFormat="1" ht="36" customHeight="1" x14ac:dyDescent="0.15">
      <c r="A100" s="271" t="s">
        <v>143</v>
      </c>
      <c r="B100" s="227">
        <v>1</v>
      </c>
      <c r="C100" s="227">
        <v>18</v>
      </c>
      <c r="D100" s="86">
        <v>23</v>
      </c>
      <c r="E100" s="87">
        <f t="shared" ref="E100" si="67">B100*C100*D100</f>
        <v>414</v>
      </c>
      <c r="F100" s="272"/>
      <c r="G100" s="174" t="s">
        <v>56</v>
      </c>
    </row>
    <row r="101" spans="1:10" s="89" customFormat="1" ht="35.25" customHeight="1" x14ac:dyDescent="0.15">
      <c r="A101" s="273" t="s">
        <v>125</v>
      </c>
      <c r="B101" s="227">
        <v>1</v>
      </c>
      <c r="C101" s="227">
        <v>18</v>
      </c>
      <c r="D101" s="86">
        <v>40</v>
      </c>
      <c r="E101" s="87">
        <f t="shared" ref="E101" si="68">B101*C101*D101</f>
        <v>720</v>
      </c>
      <c r="F101" s="274"/>
      <c r="G101" s="174" t="s">
        <v>56</v>
      </c>
      <c r="H101" s="229" t="e">
        <f>#REF!</f>
        <v>#REF!</v>
      </c>
      <c r="I101" s="96" t="e">
        <f t="shared" ref="I101" si="69">ROUNDUP(D101/(1+H101),0)</f>
        <v>#REF!</v>
      </c>
      <c r="J101" s="96" t="e">
        <f t="shared" ref="J101" si="70">B101*C101*I101</f>
        <v>#REF!</v>
      </c>
    </row>
    <row r="102" spans="1:10" s="89" customFormat="1" ht="18.75" customHeight="1" x14ac:dyDescent="0.15">
      <c r="A102" s="280" t="s">
        <v>144</v>
      </c>
      <c r="B102" s="260"/>
      <c r="C102" s="260"/>
      <c r="D102" s="261"/>
      <c r="E102" s="262"/>
      <c r="F102" s="263"/>
      <c r="G102" s="174" t="s">
        <v>56</v>
      </c>
      <c r="H102" s="264"/>
      <c r="I102" s="265"/>
      <c r="J102" s="265"/>
    </row>
    <row r="103" spans="1:10" s="89" customFormat="1" ht="21.75" customHeight="1" x14ac:dyDescent="0.15">
      <c r="A103" s="273" t="s">
        <v>126</v>
      </c>
      <c r="B103" s="227">
        <v>1</v>
      </c>
      <c r="C103" s="227">
        <v>18</v>
      </c>
      <c r="D103" s="86">
        <v>70</v>
      </c>
      <c r="E103" s="87">
        <f t="shared" ref="E103:E104" si="71">B103*C103*D103</f>
        <v>1260</v>
      </c>
      <c r="F103" s="274"/>
      <c r="G103" s="174" t="s">
        <v>56</v>
      </c>
      <c r="H103" s="229" t="e">
        <f>#REF!</f>
        <v>#REF!</v>
      </c>
      <c r="I103" s="96" t="e">
        <f t="shared" ref="I103:I104" si="72">ROUNDUP(D103/(1+H103),0)</f>
        <v>#REF!</v>
      </c>
      <c r="J103" s="96" t="e">
        <f t="shared" ref="J103:J104" si="73">B103*C103*I103</f>
        <v>#REF!</v>
      </c>
    </row>
    <row r="104" spans="1:10" s="89" customFormat="1" ht="21" customHeight="1" x14ac:dyDescent="0.15">
      <c r="A104" s="273" t="s">
        <v>127</v>
      </c>
      <c r="B104" s="227">
        <v>1</v>
      </c>
      <c r="C104" s="227">
        <v>18</v>
      </c>
      <c r="D104" s="86">
        <v>28</v>
      </c>
      <c r="E104" s="87">
        <f t="shared" si="71"/>
        <v>504</v>
      </c>
      <c r="F104" s="277"/>
      <c r="G104" s="231" t="s">
        <v>56</v>
      </c>
      <c r="H104" s="229" t="e">
        <f>#REF!</f>
        <v>#REF!</v>
      </c>
      <c r="I104" s="96" t="e">
        <f t="shared" si="72"/>
        <v>#REF!</v>
      </c>
      <c r="J104" s="96" t="e">
        <f t="shared" si="73"/>
        <v>#REF!</v>
      </c>
    </row>
    <row r="105" spans="1:10" ht="24.75" customHeight="1" x14ac:dyDescent="0.15">
      <c r="A105" s="255" t="s">
        <v>112</v>
      </c>
      <c r="B105" s="27"/>
      <c r="C105" s="27"/>
      <c r="D105" s="258"/>
      <c r="E105" s="258"/>
      <c r="F105" s="256"/>
      <c r="G105" s="48" t="s">
        <v>56</v>
      </c>
      <c r="H105" s="56"/>
      <c r="I105" s="56"/>
      <c r="J105" s="56"/>
    </row>
    <row r="106" spans="1:10" s="240" customFormat="1" ht="19.5" customHeight="1" x14ac:dyDescent="0.15">
      <c r="A106" s="234" t="s">
        <v>123</v>
      </c>
      <c r="B106" s="235"/>
      <c r="C106" s="235"/>
      <c r="D106" s="235"/>
      <c r="E106" s="235"/>
      <c r="F106" s="236"/>
      <c r="G106" s="237" t="s">
        <v>56</v>
      </c>
      <c r="H106" s="236"/>
      <c r="I106" s="236"/>
      <c r="J106" s="236"/>
    </row>
    <row r="107" spans="1:10" s="89" customFormat="1" ht="22.5" customHeight="1" x14ac:dyDescent="0.15">
      <c r="A107" s="241" t="s">
        <v>161</v>
      </c>
      <c r="B107" s="227">
        <v>1</v>
      </c>
      <c r="C107" s="227">
        <v>18</v>
      </c>
      <c r="D107" s="86">
        <v>16</v>
      </c>
      <c r="E107" s="87">
        <f>B107*C107*D107</f>
        <v>288</v>
      </c>
      <c r="F107" s="243" t="s">
        <v>121</v>
      </c>
      <c r="G107" s="48" t="s">
        <v>56</v>
      </c>
      <c r="H107" s="238" t="e">
        <f>#REF!</f>
        <v>#REF!</v>
      </c>
      <c r="I107" s="239" t="e">
        <f t="shared" ref="I107" si="74">ROUNDUP(D107/(1+H107),0)</f>
        <v>#REF!</v>
      </c>
      <c r="J107" s="239" t="e">
        <f t="shared" ref="J107" si="75">B107*C107*I107</f>
        <v>#REF!</v>
      </c>
    </row>
    <row r="108" spans="1:10" s="19" customFormat="1" ht="22" customHeight="1" x14ac:dyDescent="0.15">
      <c r="A108" s="56" t="s">
        <v>102</v>
      </c>
      <c r="B108" s="56"/>
      <c r="C108" s="56"/>
      <c r="D108" s="56"/>
      <c r="E108" s="56"/>
      <c r="F108" s="56"/>
      <c r="G108" s="174" t="s">
        <v>56</v>
      </c>
      <c r="H108" s="56"/>
      <c r="I108" s="56"/>
      <c r="J108" s="56"/>
    </row>
    <row r="109" spans="1:10" s="89" customFormat="1" ht="21.75" customHeight="1" x14ac:dyDescent="0.15">
      <c r="A109" s="248" t="s">
        <v>162</v>
      </c>
      <c r="B109" s="227">
        <v>1</v>
      </c>
      <c r="C109" s="227">
        <v>0</v>
      </c>
      <c r="D109" s="86">
        <v>999</v>
      </c>
      <c r="E109" s="87">
        <f t="shared" ref="E109" si="76">B109*C109*D109</f>
        <v>0</v>
      </c>
      <c r="F109" s="250" t="s">
        <v>130</v>
      </c>
      <c r="G109" s="231" t="s">
        <v>56</v>
      </c>
      <c r="H109" s="229" t="e">
        <f>#REF!</f>
        <v>#REF!</v>
      </c>
      <c r="I109" s="96" t="e">
        <f t="shared" ref="I109:I110" si="77">ROUNDUP(D109/(1+H109),0)</f>
        <v>#REF!</v>
      </c>
      <c r="J109" s="96" t="e">
        <f t="shared" ref="J109:J110" si="78">B109*C109*I109</f>
        <v>#REF!</v>
      </c>
    </row>
    <row r="110" spans="1:10" s="89" customFormat="1" ht="21.75" customHeight="1" x14ac:dyDescent="0.15">
      <c r="A110" s="266" t="s">
        <v>101</v>
      </c>
      <c r="B110" s="227"/>
      <c r="C110" s="227"/>
      <c r="D110" s="86"/>
      <c r="E110" s="87"/>
      <c r="F110" s="249"/>
      <c r="G110" s="231" t="s">
        <v>56</v>
      </c>
      <c r="H110" s="229" t="e">
        <f>#REF!</f>
        <v>#REF!</v>
      </c>
      <c r="I110" s="96" t="e">
        <f t="shared" si="77"/>
        <v>#REF!</v>
      </c>
      <c r="J110" s="96" t="e">
        <f t="shared" si="78"/>
        <v>#REF!</v>
      </c>
    </row>
    <row r="111" spans="1:10" s="19" customFormat="1" ht="22" customHeight="1" x14ac:dyDescent="0.15">
      <c r="A111" s="56" t="s">
        <v>100</v>
      </c>
      <c r="B111" s="56"/>
      <c r="C111" s="56"/>
      <c r="D111" s="56"/>
      <c r="E111" s="56"/>
      <c r="F111" s="56"/>
      <c r="G111" s="174" t="s">
        <v>56</v>
      </c>
      <c r="H111" s="56"/>
      <c r="I111" s="56"/>
      <c r="J111" s="56"/>
    </row>
    <row r="112" spans="1:10" s="89" customFormat="1" ht="21.75" customHeight="1" x14ac:dyDescent="0.15">
      <c r="A112" s="241" t="s">
        <v>103</v>
      </c>
      <c r="B112" s="97">
        <v>1</v>
      </c>
      <c r="C112" s="97">
        <v>1</v>
      </c>
      <c r="D112" s="88">
        <v>373</v>
      </c>
      <c r="E112" s="88">
        <f t="shared" ref="E112:E113" si="79">B112*C112*D112</f>
        <v>373</v>
      </c>
      <c r="F112" s="250" t="s">
        <v>92</v>
      </c>
      <c r="G112" s="231" t="s">
        <v>56</v>
      </c>
      <c r="H112" s="229" t="e">
        <f>#REF!</f>
        <v>#REF!</v>
      </c>
      <c r="I112" s="96" t="e">
        <f t="shared" ref="I112:I114" si="80">ROUNDUP(D112/(1+H112),0)</f>
        <v>#REF!</v>
      </c>
      <c r="J112" s="96" t="e">
        <f t="shared" ref="J112:J114" si="81">B112*C112*I112</f>
        <v>#REF!</v>
      </c>
    </row>
    <row r="113" spans="1:10" s="89" customFormat="1" ht="18.75" customHeight="1" x14ac:dyDescent="0.15">
      <c r="A113" s="241" t="s">
        <v>91</v>
      </c>
      <c r="B113" s="227">
        <v>1</v>
      </c>
      <c r="C113" s="227">
        <v>0</v>
      </c>
      <c r="D113" s="86">
        <v>72</v>
      </c>
      <c r="E113" s="87">
        <f t="shared" si="79"/>
        <v>0</v>
      </c>
      <c r="F113" s="251"/>
      <c r="G113" s="231" t="s">
        <v>56</v>
      </c>
      <c r="H113" s="229" t="e">
        <f>#REF!</f>
        <v>#REF!</v>
      </c>
      <c r="I113" s="96" t="e">
        <f t="shared" si="80"/>
        <v>#REF!</v>
      </c>
      <c r="J113" s="96" t="e">
        <f t="shared" si="81"/>
        <v>#REF!</v>
      </c>
    </row>
    <row r="114" spans="1:10" s="89" customFormat="1" ht="21.75" customHeight="1" x14ac:dyDescent="0.15">
      <c r="A114" s="242" t="s">
        <v>95</v>
      </c>
      <c r="B114" s="227"/>
      <c r="C114" s="227"/>
      <c r="D114" s="86"/>
      <c r="E114" s="87"/>
      <c r="F114" s="249"/>
      <c r="G114" s="231" t="s">
        <v>56</v>
      </c>
      <c r="H114" s="229" t="e">
        <f>#REF!</f>
        <v>#REF!</v>
      </c>
      <c r="I114" s="96" t="e">
        <f t="shared" si="80"/>
        <v>#REF!</v>
      </c>
      <c r="J114" s="96" t="e">
        <f t="shared" si="81"/>
        <v>#REF!</v>
      </c>
    </row>
    <row r="115" spans="1:10" s="89" customFormat="1" ht="24" customHeight="1" x14ac:dyDescent="0.15">
      <c r="A115" s="280" t="s">
        <v>175</v>
      </c>
      <c r="B115" s="260"/>
      <c r="C115" s="260"/>
      <c r="D115" s="261"/>
      <c r="E115" s="262"/>
      <c r="F115" s="263"/>
      <c r="G115" s="174" t="s">
        <v>56</v>
      </c>
      <c r="H115" s="264"/>
      <c r="I115" s="265"/>
      <c r="J115" s="265"/>
    </row>
    <row r="116" spans="1:10" s="89" customFormat="1" ht="30" customHeight="1" x14ac:dyDescent="0.15">
      <c r="A116" s="285" t="s">
        <v>157</v>
      </c>
      <c r="B116" s="227">
        <v>1</v>
      </c>
      <c r="C116" s="227">
        <v>18</v>
      </c>
      <c r="D116" s="86">
        <v>94</v>
      </c>
      <c r="E116" s="87">
        <f t="shared" ref="E116" si="82">B116*C116*D116</f>
        <v>1692</v>
      </c>
      <c r="F116" s="250" t="s">
        <v>176</v>
      </c>
      <c r="G116" s="231" t="s">
        <v>56</v>
      </c>
      <c r="H116" s="229" t="e">
        <f>#REF!</f>
        <v>#REF!</v>
      </c>
      <c r="I116" s="96" t="e">
        <f t="shared" ref="I116" si="83">ROUNDUP(D116/(1+H116),0)</f>
        <v>#REF!</v>
      </c>
      <c r="J116" s="96" t="e">
        <f t="shared" ref="J116" si="84">B116*C116*I116</f>
        <v>#REF!</v>
      </c>
    </row>
    <row r="117" spans="1:10" s="19" customFormat="1" ht="22" customHeight="1" x14ac:dyDescent="0.15">
      <c r="A117" s="56" t="s">
        <v>106</v>
      </c>
      <c r="B117" s="56"/>
      <c r="C117" s="56"/>
      <c r="D117" s="56"/>
      <c r="E117" s="56"/>
      <c r="F117" s="56"/>
      <c r="G117" s="174" t="s">
        <v>56</v>
      </c>
      <c r="H117" s="56"/>
      <c r="I117" s="56"/>
      <c r="J117" s="56"/>
    </row>
    <row r="118" spans="1:10" s="240" customFormat="1" ht="21.75" customHeight="1" x14ac:dyDescent="0.15">
      <c r="A118" s="282" t="s">
        <v>177</v>
      </c>
      <c r="B118" s="235"/>
      <c r="C118" s="235"/>
      <c r="D118" s="235"/>
      <c r="E118" s="235"/>
      <c r="F118" s="236"/>
      <c r="G118" s="237" t="s">
        <v>56</v>
      </c>
      <c r="H118" s="238" t="e">
        <f>#REF!</f>
        <v>#REF!</v>
      </c>
      <c r="I118" s="239" t="e">
        <f>ROUNDUP(D118/(1+H118),0)</f>
        <v>#REF!</v>
      </c>
      <c r="J118" s="239" t="e">
        <f>B118*C118*I118</f>
        <v>#REF!</v>
      </c>
    </row>
    <row r="119" spans="1:10" s="19" customFormat="1" ht="22" customHeight="1" x14ac:dyDescent="0.15">
      <c r="A119" s="56" t="s">
        <v>115</v>
      </c>
      <c r="B119" s="56"/>
      <c r="C119" s="56"/>
      <c r="D119" s="56"/>
      <c r="E119" s="56"/>
      <c r="F119" s="56"/>
      <c r="G119" s="174" t="s">
        <v>56</v>
      </c>
      <c r="H119" s="56"/>
      <c r="I119" s="56"/>
      <c r="J119" s="56"/>
    </row>
    <row r="120" spans="1:10" s="89" customFormat="1" ht="18.75" customHeight="1" x14ac:dyDescent="0.15">
      <c r="A120" s="241" t="s">
        <v>163</v>
      </c>
      <c r="B120" s="227">
        <v>1</v>
      </c>
      <c r="C120" s="227">
        <v>0</v>
      </c>
      <c r="D120" s="86">
        <v>965</v>
      </c>
      <c r="E120" s="87">
        <f>B120*C120*D120</f>
        <v>0</v>
      </c>
      <c r="F120" s="249"/>
      <c r="G120" s="231" t="s">
        <v>56</v>
      </c>
      <c r="H120" s="229" t="e">
        <f>#REF!</f>
        <v>#REF!</v>
      </c>
      <c r="I120" s="96" t="e">
        <f>ROUNDUP(D120/(1+H120),0)</f>
        <v>#REF!</v>
      </c>
      <c r="J120" s="96" t="e">
        <f>B120*C120*I120</f>
        <v>#REF!</v>
      </c>
    </row>
    <row r="121" spans="1:10" s="89" customFormat="1" ht="20.25" customHeight="1" x14ac:dyDescent="0.15">
      <c r="A121" s="266" t="s">
        <v>137</v>
      </c>
      <c r="B121" s="227">
        <v>1</v>
      </c>
      <c r="C121" s="227">
        <v>1</v>
      </c>
      <c r="D121" s="244">
        <v>88</v>
      </c>
      <c r="E121" s="87">
        <f>B121*C121*D121</f>
        <v>88</v>
      </c>
      <c r="F121" s="249"/>
      <c r="G121" s="231" t="s">
        <v>56</v>
      </c>
      <c r="H121" s="229" t="e">
        <f>#REF!</f>
        <v>#REF!</v>
      </c>
      <c r="I121" s="96" t="e">
        <f>ROUNDUP(D121/(1+H121),0)</f>
        <v>#REF!</v>
      </c>
      <c r="J121" s="96" t="e">
        <f>B121*C121*I121</f>
        <v>#REF!</v>
      </c>
    </row>
    <row r="122" spans="1:10" s="89" customFormat="1" ht="17.25" customHeight="1" x14ac:dyDescent="0.15">
      <c r="A122" s="242" t="s">
        <v>94</v>
      </c>
      <c r="B122" s="227"/>
      <c r="C122" s="227"/>
      <c r="D122" s="86"/>
      <c r="E122" s="87"/>
      <c r="F122" s="249"/>
      <c r="G122" s="231" t="s">
        <v>56</v>
      </c>
      <c r="H122" s="229" t="e">
        <f>#REF!</f>
        <v>#REF!</v>
      </c>
      <c r="I122" s="96" t="e">
        <f t="shared" ref="I122:I126" si="85">ROUNDUP(D122/(1+H122),0)</f>
        <v>#REF!</v>
      </c>
      <c r="J122" s="96" t="e">
        <f t="shared" ref="J122:J126" si="86">B122*C122*I122</f>
        <v>#REF!</v>
      </c>
    </row>
    <row r="123" spans="1:10" s="89" customFormat="1" ht="21" customHeight="1" x14ac:dyDescent="0.15">
      <c r="A123" s="241" t="s">
        <v>85</v>
      </c>
      <c r="B123" s="227">
        <v>1</v>
      </c>
      <c r="C123" s="227">
        <v>18</v>
      </c>
      <c r="D123" s="86">
        <v>5</v>
      </c>
      <c r="E123" s="87">
        <f t="shared" ref="E123:E124" si="87">B123*C123*D123</f>
        <v>90</v>
      </c>
      <c r="F123" s="228"/>
      <c r="G123" s="48" t="s">
        <v>56</v>
      </c>
      <c r="H123" s="229" t="e">
        <f>#REF!</f>
        <v>#REF!</v>
      </c>
      <c r="I123" s="96" t="e">
        <f t="shared" si="85"/>
        <v>#REF!</v>
      </c>
      <c r="J123" s="96" t="e">
        <f t="shared" si="86"/>
        <v>#REF!</v>
      </c>
    </row>
    <row r="124" spans="1:10" s="89" customFormat="1" ht="22.5" customHeight="1" x14ac:dyDescent="0.15">
      <c r="A124" s="241" t="s">
        <v>96</v>
      </c>
      <c r="B124" s="227">
        <v>1</v>
      </c>
      <c r="C124" s="227">
        <v>1</v>
      </c>
      <c r="D124" s="86">
        <v>527</v>
      </c>
      <c r="E124" s="87">
        <f t="shared" si="87"/>
        <v>527</v>
      </c>
      <c r="F124" s="250"/>
      <c r="G124" s="231" t="s">
        <v>56</v>
      </c>
      <c r="H124" s="229" t="e">
        <f>#REF!</f>
        <v>#REF!</v>
      </c>
      <c r="I124" s="96" t="e">
        <f t="shared" si="85"/>
        <v>#REF!</v>
      </c>
      <c r="J124" s="96" t="e">
        <f t="shared" si="86"/>
        <v>#REF!</v>
      </c>
    </row>
    <row r="125" spans="1:10" s="89" customFormat="1" ht="21.75" customHeight="1" x14ac:dyDescent="0.15">
      <c r="A125" s="242" t="s">
        <v>95</v>
      </c>
      <c r="B125" s="227"/>
      <c r="C125" s="227"/>
      <c r="D125" s="86"/>
      <c r="E125" s="87"/>
      <c r="F125" s="249"/>
      <c r="G125" s="231" t="s">
        <v>56</v>
      </c>
      <c r="H125" s="229" t="e">
        <f>#REF!</f>
        <v>#REF!</v>
      </c>
      <c r="I125" s="96" t="e">
        <f t="shared" si="85"/>
        <v>#REF!</v>
      </c>
      <c r="J125" s="96" t="e">
        <f t="shared" si="86"/>
        <v>#REF!</v>
      </c>
    </row>
    <row r="126" spans="1:10" s="89" customFormat="1" ht="28.5" customHeight="1" x14ac:dyDescent="0.15">
      <c r="A126" s="241" t="s">
        <v>109</v>
      </c>
      <c r="B126" s="227">
        <v>1</v>
      </c>
      <c r="C126" s="227">
        <v>18</v>
      </c>
      <c r="D126" s="86">
        <v>10</v>
      </c>
      <c r="E126" s="87">
        <f>B126*C126*D126</f>
        <v>180</v>
      </c>
      <c r="F126" s="283"/>
      <c r="G126" s="231" t="s">
        <v>56</v>
      </c>
      <c r="H126" s="229" t="e">
        <f>#REF!</f>
        <v>#REF!</v>
      </c>
      <c r="I126" s="96" t="e">
        <f t="shared" si="85"/>
        <v>#REF!</v>
      </c>
      <c r="J126" s="96" t="e">
        <f t="shared" si="86"/>
        <v>#REF!</v>
      </c>
    </row>
    <row r="127" spans="1:10" s="89" customFormat="1" ht="21" customHeight="1" x14ac:dyDescent="0.15">
      <c r="A127" s="284" t="s">
        <v>148</v>
      </c>
      <c r="B127" s="235"/>
      <c r="C127" s="235"/>
      <c r="D127" s="235"/>
      <c r="E127" s="235"/>
      <c r="F127" s="236"/>
      <c r="G127" s="231" t="s">
        <v>56</v>
      </c>
      <c r="H127" s="246"/>
      <c r="I127" s="247"/>
      <c r="J127" s="247"/>
    </row>
    <row r="128" spans="1:10" s="89" customFormat="1" ht="35.25" customHeight="1" x14ac:dyDescent="0.15">
      <c r="A128" s="248" t="s">
        <v>139</v>
      </c>
      <c r="B128" s="21">
        <v>1</v>
      </c>
      <c r="C128" s="227">
        <v>18</v>
      </c>
      <c r="D128" s="86">
        <v>137</v>
      </c>
      <c r="E128" s="87">
        <f t="shared" ref="E128" si="88">B128*C128*D128</f>
        <v>2466</v>
      </c>
      <c r="F128" s="281"/>
      <c r="G128" s="174" t="s">
        <v>56</v>
      </c>
    </row>
    <row r="129" spans="1:39" ht="21.75" customHeight="1" x14ac:dyDescent="0.15">
      <c r="A129" s="255" t="s">
        <v>112</v>
      </c>
      <c r="B129" s="27"/>
      <c r="C129" s="27"/>
      <c r="D129" s="258"/>
      <c r="E129" s="258"/>
      <c r="F129" s="256"/>
      <c r="G129" s="48" t="s">
        <v>56</v>
      </c>
      <c r="H129" s="56"/>
      <c r="I129" s="56"/>
      <c r="J129" s="56"/>
    </row>
    <row r="130" spans="1:39" s="89" customFormat="1" ht="152.25" customHeight="1" x14ac:dyDescent="0.15">
      <c r="A130" s="275" t="s">
        <v>138</v>
      </c>
      <c r="B130" s="227">
        <v>1</v>
      </c>
      <c r="C130" s="227">
        <v>18</v>
      </c>
      <c r="D130" s="86">
        <v>75</v>
      </c>
      <c r="E130" s="87">
        <f>B130*C130*D130</f>
        <v>1350</v>
      </c>
      <c r="F130" s="272" t="s">
        <v>129</v>
      </c>
    </row>
    <row r="131" spans="1:39" s="19" customFormat="1" ht="22" customHeight="1" x14ac:dyDescent="0.15">
      <c r="A131" s="56" t="s">
        <v>102</v>
      </c>
      <c r="B131" s="56"/>
      <c r="C131" s="56"/>
      <c r="D131" s="56"/>
      <c r="E131" s="56"/>
      <c r="F131" s="56"/>
      <c r="G131" s="174" t="s">
        <v>56</v>
      </c>
      <c r="H131" s="56"/>
      <c r="I131" s="56"/>
      <c r="J131" s="56"/>
    </row>
    <row r="132" spans="1:39" s="89" customFormat="1" ht="21.75" customHeight="1" x14ac:dyDescent="0.15">
      <c r="A132" s="248" t="s">
        <v>162</v>
      </c>
      <c r="B132" s="227">
        <v>1</v>
      </c>
      <c r="C132" s="227">
        <v>1</v>
      </c>
      <c r="D132" s="86">
        <v>999</v>
      </c>
      <c r="E132" s="87">
        <f t="shared" ref="E132" si="89">B132*C132*D132</f>
        <v>999</v>
      </c>
      <c r="F132" s="250" t="s">
        <v>130</v>
      </c>
      <c r="G132" s="231" t="s">
        <v>56</v>
      </c>
      <c r="H132" s="229" t="e">
        <f>#REF!</f>
        <v>#REF!</v>
      </c>
      <c r="I132" s="96" t="e">
        <f t="shared" ref="I132" si="90">ROUNDUP(D132/(1+H132),0)</f>
        <v>#REF!</v>
      </c>
      <c r="J132" s="96" t="e">
        <f t="shared" ref="J132" si="91">B132*C132*I132</f>
        <v>#REF!</v>
      </c>
    </row>
    <row r="133" spans="1:39" s="89" customFormat="1" ht="21.75" customHeight="1" x14ac:dyDescent="0.15">
      <c r="A133" s="266" t="s">
        <v>101</v>
      </c>
      <c r="B133" s="227"/>
      <c r="C133" s="227"/>
      <c r="D133" s="86"/>
      <c r="E133" s="87"/>
      <c r="F133" s="249"/>
      <c r="G133" s="231" t="s">
        <v>56</v>
      </c>
      <c r="H133" s="229" t="e">
        <f>#REF!</f>
        <v>#REF!</v>
      </c>
      <c r="I133" s="96" t="e">
        <f t="shared" ref="I133" si="92">ROUNDUP(D133/(1+H133),0)</f>
        <v>#REF!</v>
      </c>
      <c r="J133" s="96" t="e">
        <f t="shared" ref="J133" si="93">B133*C133*I133</f>
        <v>#REF!</v>
      </c>
    </row>
    <row r="134" spans="1:39" s="89" customFormat="1" ht="21.75" customHeight="1" x14ac:dyDescent="0.15">
      <c r="A134" s="266" t="s">
        <v>178</v>
      </c>
      <c r="B134" s="227">
        <v>1</v>
      </c>
      <c r="C134" s="227">
        <v>1</v>
      </c>
      <c r="D134" s="86">
        <v>50</v>
      </c>
      <c r="E134" s="87">
        <f t="shared" ref="E134" si="94">B134*C134*D134</f>
        <v>50</v>
      </c>
      <c r="F134" s="249"/>
      <c r="G134" s="231" t="s">
        <v>56</v>
      </c>
      <c r="H134" s="229" t="e">
        <f>#REF!</f>
        <v>#REF!</v>
      </c>
      <c r="I134" s="96" t="e">
        <f t="shared" ref="I134" si="95">ROUNDUP(D134/(1+H134),0)</f>
        <v>#REF!</v>
      </c>
      <c r="J134" s="96" t="e">
        <f t="shared" ref="J134" si="96">B134*C134*I134</f>
        <v>#REF!</v>
      </c>
    </row>
    <row r="135" spans="1:39" s="19" customFormat="1" ht="22" customHeight="1" x14ac:dyDescent="0.15">
      <c r="A135" s="56" t="s">
        <v>100</v>
      </c>
      <c r="B135" s="56"/>
      <c r="C135" s="56"/>
      <c r="D135" s="56"/>
      <c r="E135" s="56"/>
      <c r="F135" s="56"/>
      <c r="G135" s="174" t="s">
        <v>56</v>
      </c>
      <c r="H135" s="56"/>
      <c r="I135" s="56"/>
      <c r="J135" s="56"/>
    </row>
    <row r="136" spans="1:39" s="89" customFormat="1" ht="23.25" customHeight="1" x14ac:dyDescent="0.15">
      <c r="A136" s="241" t="s">
        <v>103</v>
      </c>
      <c r="B136" s="97">
        <v>1</v>
      </c>
      <c r="C136" s="97">
        <v>1</v>
      </c>
      <c r="D136" s="88">
        <v>373</v>
      </c>
      <c r="E136" s="88">
        <f t="shared" ref="E136:E137" si="97">B136*C136*D136</f>
        <v>373</v>
      </c>
      <c r="F136" s="250" t="s">
        <v>92</v>
      </c>
      <c r="G136" s="231" t="s">
        <v>56</v>
      </c>
      <c r="H136" s="229" t="e">
        <f>#REF!</f>
        <v>#REF!</v>
      </c>
      <c r="I136" s="96" t="e">
        <f t="shared" ref="I136:I138" si="98">ROUNDUP(D136/(1+H136),0)</f>
        <v>#REF!</v>
      </c>
      <c r="J136" s="96" t="e">
        <f t="shared" ref="J136:J138" si="99">B136*C136*I136</f>
        <v>#REF!</v>
      </c>
    </row>
    <row r="137" spans="1:39" s="89" customFormat="1" ht="23.25" customHeight="1" x14ac:dyDescent="0.15">
      <c r="A137" s="241" t="s">
        <v>91</v>
      </c>
      <c r="B137" s="227">
        <v>1</v>
      </c>
      <c r="C137" s="227">
        <v>0</v>
      </c>
      <c r="D137" s="86">
        <v>72</v>
      </c>
      <c r="E137" s="87">
        <f t="shared" si="97"/>
        <v>0</v>
      </c>
      <c r="F137" s="251"/>
      <c r="G137" s="231" t="s">
        <v>56</v>
      </c>
      <c r="H137" s="229" t="e">
        <f>#REF!</f>
        <v>#REF!</v>
      </c>
      <c r="I137" s="96" t="e">
        <f t="shared" si="98"/>
        <v>#REF!</v>
      </c>
      <c r="J137" s="96" t="e">
        <f t="shared" si="99"/>
        <v>#REF!</v>
      </c>
    </row>
    <row r="138" spans="1:39" s="89" customFormat="1" ht="21.75" customHeight="1" x14ac:dyDescent="0.15">
      <c r="A138" s="242" t="s">
        <v>95</v>
      </c>
      <c r="B138" s="227"/>
      <c r="C138" s="227"/>
      <c r="D138" s="86"/>
      <c r="E138" s="87"/>
      <c r="F138" s="249"/>
      <c r="G138" s="231" t="s">
        <v>56</v>
      </c>
      <c r="H138" s="229" t="e">
        <f>#REF!</f>
        <v>#REF!</v>
      </c>
      <c r="I138" s="96" t="e">
        <f t="shared" si="98"/>
        <v>#REF!</v>
      </c>
      <c r="J138" s="96" t="e">
        <f t="shared" si="99"/>
        <v>#REF!</v>
      </c>
    </row>
    <row r="139" spans="1:39" s="269" customFormat="1" ht="21" customHeight="1" x14ac:dyDescent="0.15">
      <c r="A139" s="329" t="s">
        <v>164</v>
      </c>
      <c r="B139" s="330"/>
      <c r="C139" s="330"/>
      <c r="D139" s="330"/>
      <c r="E139" s="330"/>
      <c r="F139" s="331"/>
      <c r="G139" s="268" t="s">
        <v>56</v>
      </c>
      <c r="H139" s="267"/>
      <c r="I139" s="267"/>
      <c r="J139" s="267"/>
    </row>
    <row r="140" spans="1:39" s="89" customFormat="1" ht="34.5" customHeight="1" x14ac:dyDescent="0.15">
      <c r="A140" s="280" t="s">
        <v>142</v>
      </c>
      <c r="B140" s="260"/>
      <c r="C140" s="260"/>
      <c r="D140" s="261"/>
      <c r="E140" s="262"/>
      <c r="F140" s="263"/>
      <c r="G140" s="174" t="s">
        <v>56</v>
      </c>
      <c r="H140" s="264"/>
      <c r="I140" s="265"/>
      <c r="J140" s="265"/>
    </row>
    <row r="141" spans="1:39" s="89" customFormat="1" ht="35.25" customHeight="1" x14ac:dyDescent="0.15">
      <c r="A141" s="286" t="s">
        <v>157</v>
      </c>
      <c r="B141" s="97">
        <v>1</v>
      </c>
      <c r="C141" s="97">
        <v>18</v>
      </c>
      <c r="D141" s="278">
        <v>111</v>
      </c>
      <c r="E141" s="88">
        <f t="shared" ref="E141" si="100">B141*C141*D141</f>
        <v>1998</v>
      </c>
      <c r="F141" s="251"/>
      <c r="G141" s="231" t="s">
        <v>56</v>
      </c>
      <c r="H141" s="229" t="e">
        <f>#REF!</f>
        <v>#REF!</v>
      </c>
      <c r="I141" s="96" t="e">
        <f t="shared" ref="I141" si="101">ROUNDUP(D141/(1+H141),0)</f>
        <v>#REF!</v>
      </c>
      <c r="J141" s="96" t="e">
        <f t="shared" ref="J141" si="102">B141*C141*I141</f>
        <v>#REF!</v>
      </c>
    </row>
    <row r="142" spans="1:39" ht="14.25" customHeight="1" x14ac:dyDescent="0.15">
      <c r="A142" s="315"/>
      <c r="C142" s="16"/>
      <c r="D142" s="49"/>
      <c r="E142" s="49"/>
      <c r="F142" s="316"/>
      <c r="G142" s="89"/>
      <c r="H142" s="89"/>
      <c r="I142" s="89"/>
      <c r="J142" s="89"/>
      <c r="K142" s="173"/>
      <c r="L142" s="173"/>
      <c r="M142" s="173"/>
      <c r="N142" s="173"/>
      <c r="O142" s="173"/>
      <c r="P142" s="173"/>
      <c r="Q142" s="173"/>
      <c r="R142" s="173"/>
      <c r="S142" s="173"/>
      <c r="T142" s="173"/>
      <c r="U142" s="173"/>
      <c r="V142" s="173"/>
      <c r="W142" s="173"/>
      <c r="X142" s="173"/>
      <c r="Y142" s="173"/>
      <c r="Z142" s="173"/>
      <c r="AA142" s="173"/>
      <c r="AB142" s="173"/>
      <c r="AC142" s="173"/>
      <c r="AD142" s="173"/>
      <c r="AE142" s="173"/>
      <c r="AF142" s="173"/>
      <c r="AG142" s="173"/>
      <c r="AH142" s="173"/>
      <c r="AI142" s="173"/>
      <c r="AJ142" s="173"/>
      <c r="AK142" s="173"/>
      <c r="AL142" s="173"/>
      <c r="AM142" s="173"/>
    </row>
    <row r="143" spans="1:39" s="19" customFormat="1" ht="22" customHeight="1" x14ac:dyDescent="0.15">
      <c r="A143" s="56" t="s">
        <v>107</v>
      </c>
      <c r="B143" s="56"/>
      <c r="C143" s="56"/>
      <c r="D143" s="56"/>
      <c r="E143" s="56"/>
      <c r="F143" s="56"/>
      <c r="G143" s="174" t="s">
        <v>56</v>
      </c>
      <c r="H143" s="56"/>
      <c r="I143" s="56"/>
      <c r="J143" s="56"/>
    </row>
    <row r="144" spans="1:39" s="19" customFormat="1" ht="22" customHeight="1" x14ac:dyDescent="0.15">
      <c r="A144" s="56" t="s">
        <v>93</v>
      </c>
      <c r="B144" s="56"/>
      <c r="C144" s="56"/>
      <c r="D144" s="56"/>
      <c r="E144" s="56"/>
      <c r="F144" s="56"/>
      <c r="G144" s="174" t="s">
        <v>56</v>
      </c>
      <c r="H144" s="56"/>
      <c r="I144" s="56"/>
      <c r="J144" s="56"/>
    </row>
    <row r="145" spans="1:10" s="89" customFormat="1" ht="24" customHeight="1" x14ac:dyDescent="0.15">
      <c r="A145" s="223" t="s">
        <v>108</v>
      </c>
      <c r="B145" s="224"/>
      <c r="C145" s="224"/>
      <c r="D145" s="230"/>
      <c r="E145" s="230"/>
      <c r="F145" s="317"/>
      <c r="G145" s="231" t="s">
        <v>56</v>
      </c>
      <c r="H145" s="232"/>
      <c r="I145" s="233"/>
      <c r="J145" s="233"/>
    </row>
    <row r="146" spans="1:10" s="89" customFormat="1" ht="30.75" customHeight="1" x14ac:dyDescent="0.15">
      <c r="A146" s="245" t="s">
        <v>179</v>
      </c>
      <c r="B146" s="225"/>
      <c r="C146" s="225"/>
      <c r="D146" s="226"/>
      <c r="E146" s="226"/>
      <c r="F146" s="98"/>
      <c r="G146" s="231" t="s">
        <v>56</v>
      </c>
      <c r="H146" s="246"/>
      <c r="I146" s="247"/>
      <c r="J146" s="247"/>
    </row>
    <row r="147" spans="1:10" s="89" customFormat="1" ht="26.25" customHeight="1" x14ac:dyDescent="0.15">
      <c r="A147" s="248" t="s">
        <v>153</v>
      </c>
      <c r="B147" s="227">
        <v>1</v>
      </c>
      <c r="C147" s="227">
        <v>1</v>
      </c>
      <c r="D147" s="86">
        <v>400</v>
      </c>
      <c r="E147" s="87">
        <f t="shared" ref="E147" si="103">B147*C147*D147</f>
        <v>400</v>
      </c>
      <c r="F147" s="249"/>
      <c r="G147" s="231" t="s">
        <v>56</v>
      </c>
      <c r="H147" s="229" t="e">
        <f>#REF!</f>
        <v>#REF!</v>
      </c>
      <c r="I147" s="96" t="e">
        <f t="shared" ref="I147" si="104">ROUNDUP(D147/(1+H147),0)</f>
        <v>#REF!</v>
      </c>
      <c r="J147" s="96" t="e">
        <f t="shared" ref="J147" si="105">B147*C147*I147</f>
        <v>#REF!</v>
      </c>
    </row>
    <row r="148" spans="1:10" s="89" customFormat="1" ht="24" customHeight="1" x14ac:dyDescent="0.15">
      <c r="A148" s="241" t="s">
        <v>140</v>
      </c>
      <c r="B148" s="227">
        <v>1</v>
      </c>
      <c r="C148" s="227">
        <v>0</v>
      </c>
      <c r="D148" s="86">
        <v>364</v>
      </c>
      <c r="E148" s="87">
        <f t="shared" ref="E148" si="106">B148*C148*D148</f>
        <v>0</v>
      </c>
      <c r="F148" s="250" t="s">
        <v>92</v>
      </c>
      <c r="G148" s="48" t="s">
        <v>56</v>
      </c>
      <c r="H148" s="229" t="e">
        <f>#REF!</f>
        <v>#REF!</v>
      </c>
      <c r="I148" s="96" t="e">
        <f t="shared" ref="I148" si="107">ROUNDUP(D148/(1+H148),0)</f>
        <v>#REF!</v>
      </c>
      <c r="J148" s="96" t="e">
        <f t="shared" ref="J148" si="108">B148*C148*I148</f>
        <v>#REF!</v>
      </c>
    </row>
    <row r="149" spans="1:10" ht="13" customHeight="1" x14ac:dyDescent="0.15">
      <c r="A149" s="65" t="s">
        <v>49</v>
      </c>
      <c r="B149" s="189"/>
      <c r="C149" s="189"/>
      <c r="D149" s="57"/>
      <c r="E149" s="57">
        <f>SUM(E35:E148)</f>
        <v>21744</v>
      </c>
      <c r="F149" s="23"/>
      <c r="G149" s="48" t="s">
        <v>56</v>
      </c>
      <c r="H149" s="106"/>
      <c r="I149" s="107"/>
      <c r="J149" s="136" t="e">
        <f>SUM(#REF!)</f>
        <v>#REF!</v>
      </c>
    </row>
    <row r="150" spans="1:10" ht="18.75" customHeight="1" x14ac:dyDescent="0.15">
      <c r="A150" s="66"/>
      <c r="B150" s="190"/>
      <c r="C150" s="190"/>
      <c r="D150" s="58"/>
      <c r="E150" s="58"/>
      <c r="F150" s="24"/>
      <c r="G150" s="48" t="s">
        <v>56</v>
      </c>
      <c r="H150" s="108"/>
      <c r="I150" s="109"/>
      <c r="J150" s="110"/>
    </row>
    <row r="151" spans="1:10" ht="30" x14ac:dyDescent="0.15">
      <c r="A151" s="20" t="s">
        <v>48</v>
      </c>
      <c r="B151" s="17" t="s">
        <v>30</v>
      </c>
      <c r="C151" s="18" t="s">
        <v>1</v>
      </c>
      <c r="D151" s="71" t="s">
        <v>9</v>
      </c>
      <c r="E151" s="180" t="s">
        <v>0</v>
      </c>
      <c r="F151" s="17" t="s">
        <v>8</v>
      </c>
      <c r="G151" s="48" t="s">
        <v>56</v>
      </c>
      <c r="H151" s="104" t="s">
        <v>62</v>
      </c>
      <c r="I151" s="95" t="s">
        <v>63</v>
      </c>
      <c r="J151" s="95" t="s">
        <v>64</v>
      </c>
    </row>
    <row r="152" spans="1:10" ht="22" customHeight="1" x14ac:dyDescent="0.15">
      <c r="A152" s="212" t="s">
        <v>26</v>
      </c>
      <c r="B152" s="191"/>
      <c r="C152" s="191"/>
      <c r="D152" s="181"/>
      <c r="E152" s="181"/>
      <c r="F152" s="25"/>
      <c r="G152" s="48" t="s">
        <v>56</v>
      </c>
      <c r="H152" s="111"/>
      <c r="I152" s="111"/>
      <c r="J152" s="113"/>
    </row>
    <row r="153" spans="1:10" ht="22" customHeight="1" x14ac:dyDescent="0.15">
      <c r="A153" s="209" t="s">
        <v>24</v>
      </c>
      <c r="B153" s="81"/>
      <c r="C153" s="81"/>
      <c r="D153" s="82"/>
      <c r="E153" s="81"/>
      <c r="F153" s="83"/>
      <c r="G153" s="48" t="s">
        <v>56</v>
      </c>
      <c r="H153" s="114"/>
      <c r="I153" s="114"/>
      <c r="J153" s="115"/>
    </row>
    <row r="154" spans="1:10" ht="30.75" customHeight="1" x14ac:dyDescent="0.15">
      <c r="A154" s="175" t="s">
        <v>75</v>
      </c>
      <c r="B154" s="21">
        <v>5</v>
      </c>
      <c r="C154" s="21">
        <v>1</v>
      </c>
      <c r="D154" s="203">
        <v>550</v>
      </c>
      <c r="E154" s="88">
        <f t="shared" ref="E154" si="109">B154*C154*D154</f>
        <v>2750</v>
      </c>
      <c r="F154" s="204" t="s">
        <v>57</v>
      </c>
      <c r="G154" s="48" t="s">
        <v>56</v>
      </c>
      <c r="H154" s="105" t="e">
        <f>#REF!</f>
        <v>#REF!</v>
      </c>
      <c r="I154" s="96" t="e">
        <f>ROUNDUP(D154/(1+H154),0)</f>
        <v>#REF!</v>
      </c>
      <c r="J154" s="134" t="e">
        <f>B154*C154*I154</f>
        <v>#REF!</v>
      </c>
    </row>
    <row r="155" spans="1:10" ht="30.75" customHeight="1" x14ac:dyDescent="0.15">
      <c r="A155" s="175" t="s">
        <v>186</v>
      </c>
      <c r="B155" s="21">
        <v>4</v>
      </c>
      <c r="C155" s="21">
        <v>1</v>
      </c>
      <c r="D155" s="203">
        <v>550</v>
      </c>
      <c r="E155" s="88">
        <f t="shared" ref="E155" si="110">B155*C155*D155</f>
        <v>2200</v>
      </c>
      <c r="F155" s="204" t="s">
        <v>57</v>
      </c>
      <c r="G155" s="48" t="s">
        <v>56</v>
      </c>
      <c r="H155" s="105" t="e">
        <f>#REF!</f>
        <v>#REF!</v>
      </c>
      <c r="I155" s="96" t="e">
        <f>ROUNDUP(D155/(1+H155),0)</f>
        <v>#REF!</v>
      </c>
      <c r="J155" s="134" t="e">
        <f>B155*C155*I155</f>
        <v>#REF!</v>
      </c>
    </row>
    <row r="156" spans="1:10" s="19" customFormat="1" ht="22" customHeight="1" x14ac:dyDescent="0.15">
      <c r="A156" s="209" t="s">
        <v>25</v>
      </c>
      <c r="B156" s="205"/>
      <c r="C156" s="205"/>
      <c r="D156" s="206"/>
      <c r="E156" s="205"/>
      <c r="F156" s="210"/>
      <c r="G156" s="174" t="s">
        <v>56</v>
      </c>
      <c r="H156" s="211"/>
      <c r="I156" s="211"/>
      <c r="J156" s="213"/>
    </row>
    <row r="157" spans="1:10" ht="30" x14ac:dyDescent="0.15">
      <c r="A157" s="175" t="s">
        <v>76</v>
      </c>
      <c r="B157" s="21">
        <v>5</v>
      </c>
      <c r="C157" s="21">
        <v>1</v>
      </c>
      <c r="D157" s="203">
        <v>80</v>
      </c>
      <c r="E157" s="88">
        <f t="shared" ref="E157" si="111">B157*C157*D157</f>
        <v>400</v>
      </c>
      <c r="F157" s="204" t="s">
        <v>57</v>
      </c>
      <c r="G157" s="48" t="s">
        <v>56</v>
      </c>
      <c r="H157" s="105" t="e">
        <f>#REF!</f>
        <v>#REF!</v>
      </c>
      <c r="I157" s="96" t="e">
        <f>ROUNDUP(D157/(1+H157),0)</f>
        <v>#REF!</v>
      </c>
      <c r="J157" s="144" t="e">
        <f>B157*C157*I157</f>
        <v>#REF!</v>
      </c>
    </row>
    <row r="158" spans="1:10" ht="13" customHeight="1" x14ac:dyDescent="0.15">
      <c r="A158" s="65" t="s">
        <v>49</v>
      </c>
      <c r="B158" s="189"/>
      <c r="C158" s="189"/>
      <c r="D158" s="57"/>
      <c r="E158" s="57">
        <f>SUM(E152:E157)</f>
        <v>5350</v>
      </c>
      <c r="F158" s="23"/>
      <c r="G158" s="48" t="s">
        <v>56</v>
      </c>
      <c r="H158" s="106"/>
      <c r="I158" s="107"/>
      <c r="J158" s="136" t="e">
        <f>SUM(J152:J157)</f>
        <v>#REF!</v>
      </c>
    </row>
    <row r="159" spans="1:10" ht="18.75" customHeight="1" x14ac:dyDescent="0.15">
      <c r="A159" s="66"/>
      <c r="B159" s="190"/>
      <c r="C159" s="190"/>
      <c r="D159" s="58"/>
      <c r="E159" s="58"/>
      <c r="F159" s="24"/>
      <c r="G159" s="48" t="s">
        <v>56</v>
      </c>
      <c r="H159" s="108"/>
      <c r="I159" s="109"/>
      <c r="J159" s="110"/>
    </row>
    <row r="160" spans="1:10" x14ac:dyDescent="0.15">
      <c r="G160" s="48" t="s">
        <v>56</v>
      </c>
    </row>
    <row r="161" spans="1:10" x14ac:dyDescent="0.15">
      <c r="G161" s="48" t="s">
        <v>56</v>
      </c>
    </row>
    <row r="162" spans="1:10" x14ac:dyDescent="0.15">
      <c r="G162" s="48" t="s">
        <v>56</v>
      </c>
    </row>
    <row r="163" spans="1:10" ht="30" x14ac:dyDescent="0.15">
      <c r="A163" s="26" t="s">
        <v>28</v>
      </c>
      <c r="B163" s="27"/>
      <c r="C163" s="28"/>
      <c r="D163" s="51" t="s">
        <v>20</v>
      </c>
      <c r="E163" s="51" t="s">
        <v>29</v>
      </c>
      <c r="F163" s="29"/>
      <c r="G163" s="48" t="s">
        <v>56</v>
      </c>
      <c r="H163" s="116"/>
      <c r="I163" s="116"/>
      <c r="J163" s="138" t="s">
        <v>29</v>
      </c>
    </row>
    <row r="164" spans="1:10" ht="13" customHeight="1" x14ac:dyDescent="0.15">
      <c r="A164" s="52" t="s">
        <v>132</v>
      </c>
      <c r="B164" s="33"/>
      <c r="C164" s="34"/>
      <c r="D164" s="182"/>
      <c r="E164" s="55">
        <f>E30</f>
        <v>23326.560000000001</v>
      </c>
      <c r="F164" s="35"/>
      <c r="G164" s="48" t="s">
        <v>56</v>
      </c>
      <c r="H164" s="118"/>
      <c r="I164" s="119"/>
      <c r="J164" s="139" t="e">
        <f>#REF!</f>
        <v>#REF!</v>
      </c>
    </row>
    <row r="165" spans="1:10" ht="21" customHeight="1" x14ac:dyDescent="0.15">
      <c r="A165" s="53"/>
      <c r="B165" s="30"/>
      <c r="C165" s="31"/>
      <c r="D165" s="183"/>
      <c r="E165" s="54"/>
      <c r="F165" s="32"/>
      <c r="G165" s="48" t="s">
        <v>56</v>
      </c>
      <c r="H165" s="117"/>
      <c r="I165" s="120"/>
      <c r="J165" s="140"/>
    </row>
    <row r="166" spans="1:10" ht="13" customHeight="1" x14ac:dyDescent="0.15">
      <c r="A166" s="52" t="s">
        <v>46</v>
      </c>
      <c r="B166" s="33"/>
      <c r="C166" s="34"/>
      <c r="D166" s="182"/>
      <c r="E166" s="55">
        <f>E149</f>
        <v>21744</v>
      </c>
      <c r="F166" s="35"/>
      <c r="G166" s="48" t="s">
        <v>56</v>
      </c>
      <c r="H166" s="118"/>
      <c r="I166" s="119"/>
      <c r="J166" s="139" t="e">
        <f>#REF!</f>
        <v>#REF!</v>
      </c>
    </row>
    <row r="167" spans="1:10" ht="21" customHeight="1" x14ac:dyDescent="0.15">
      <c r="A167" s="53"/>
      <c r="B167" s="30"/>
      <c r="C167" s="31"/>
      <c r="D167" s="183"/>
      <c r="E167" s="54"/>
      <c r="F167" s="32"/>
      <c r="G167" s="48" t="s">
        <v>56</v>
      </c>
      <c r="H167" s="117"/>
      <c r="I167" s="120"/>
      <c r="J167" s="140"/>
    </row>
    <row r="168" spans="1:10" ht="13" customHeight="1" x14ac:dyDescent="0.15">
      <c r="A168" s="52" t="s">
        <v>48</v>
      </c>
      <c r="B168" s="33"/>
      <c r="C168" s="34"/>
      <c r="D168" s="182"/>
      <c r="E168" s="55">
        <f>E158</f>
        <v>5350</v>
      </c>
      <c r="F168" s="35"/>
      <c r="G168" s="48" t="s">
        <v>56</v>
      </c>
      <c r="H168" s="118"/>
      <c r="I168" s="119"/>
      <c r="J168" s="139" t="e">
        <f>J158</f>
        <v>#REF!</v>
      </c>
    </row>
    <row r="169" spans="1:10" ht="21" customHeight="1" x14ac:dyDescent="0.15">
      <c r="A169" s="53"/>
      <c r="B169" s="30"/>
      <c r="C169" s="31"/>
      <c r="D169" s="183"/>
      <c r="E169" s="54"/>
      <c r="F169" s="32"/>
      <c r="G169" s="48" t="s">
        <v>56</v>
      </c>
      <c r="H169" s="117"/>
      <c r="I169" s="120"/>
      <c r="J169" s="140"/>
    </row>
    <row r="170" spans="1:10" ht="13" customHeight="1" x14ac:dyDescent="0.15">
      <c r="A170" s="65" t="s">
        <v>21</v>
      </c>
      <c r="B170" s="36"/>
      <c r="C170" s="37"/>
      <c r="D170" s="184"/>
      <c r="E170" s="67">
        <f>SUM(E166:E169)</f>
        <v>27094</v>
      </c>
      <c r="F170" s="38"/>
      <c r="G170" s="48" t="s">
        <v>56</v>
      </c>
      <c r="H170" s="121"/>
      <c r="I170" s="122"/>
      <c r="J170" s="137" t="e">
        <f>SUM(J166:J169)</f>
        <v>#REF!</v>
      </c>
    </row>
    <row r="171" spans="1:10" ht="21" customHeight="1" x14ac:dyDescent="0.15">
      <c r="A171" s="66"/>
      <c r="B171" s="39"/>
      <c r="C171" s="40"/>
      <c r="D171" s="185"/>
      <c r="E171" s="68"/>
      <c r="F171" s="41"/>
      <c r="G171" s="48" t="s">
        <v>56</v>
      </c>
      <c r="H171" s="123"/>
      <c r="I171" s="124"/>
      <c r="J171" s="141"/>
    </row>
    <row r="172" spans="1:10" ht="13" customHeight="1" x14ac:dyDescent="0.15">
      <c r="A172" s="59" t="s">
        <v>22</v>
      </c>
      <c r="B172" s="63" t="s">
        <v>23</v>
      </c>
      <c r="C172" s="63"/>
      <c r="D172" s="207">
        <v>18</v>
      </c>
      <c r="E172" s="61">
        <f>E170/D172</f>
        <v>1505.2222222222222</v>
      </c>
      <c r="F172" s="42"/>
      <c r="G172" s="48" t="s">
        <v>56</v>
      </c>
      <c r="H172" s="125"/>
      <c r="I172" s="126"/>
      <c r="J172" s="142" t="e">
        <f>J170/D172</f>
        <v>#REF!</v>
      </c>
    </row>
    <row r="173" spans="1:10" ht="21" customHeight="1" x14ac:dyDescent="0.15">
      <c r="A173" s="60"/>
      <c r="B173" s="64"/>
      <c r="C173" s="64"/>
      <c r="D173" s="186"/>
      <c r="E173" s="62"/>
      <c r="F173" s="43"/>
      <c r="G173" s="48" t="s">
        <v>56</v>
      </c>
      <c r="H173" s="127"/>
      <c r="I173" s="128"/>
      <c r="J173" s="143"/>
    </row>
    <row r="174" spans="1:10" ht="14.25" customHeight="1" x14ac:dyDescent="0.15">
      <c r="G174" s="48" t="s">
        <v>56</v>
      </c>
    </row>
    <row r="175" spans="1:10" ht="93.75" customHeight="1" x14ac:dyDescent="0.15">
      <c r="A175" s="323" t="s">
        <v>149</v>
      </c>
      <c r="B175" s="324"/>
      <c r="C175" s="324"/>
      <c r="D175" s="324"/>
      <c r="E175" s="324"/>
      <c r="F175" s="324"/>
      <c r="G175" s="48" t="s">
        <v>56</v>
      </c>
      <c r="H175" s="194"/>
      <c r="I175" s="192"/>
      <c r="J175" s="193"/>
    </row>
    <row r="176" spans="1:10" ht="14.25" customHeight="1" x14ac:dyDescent="0.15">
      <c r="G176" s="48" t="s">
        <v>56</v>
      </c>
    </row>
    <row r="177" spans="1:10" s="44" customFormat="1" ht="13" x14ac:dyDescent="0.15">
      <c r="A177" s="149" t="s">
        <v>10</v>
      </c>
      <c r="B177" s="149"/>
      <c r="C177" s="149"/>
      <c r="D177" s="149"/>
      <c r="E177" s="149"/>
      <c r="F177" s="149"/>
      <c r="G177" s="48"/>
      <c r="H177" s="214"/>
      <c r="J177" s="287"/>
    </row>
    <row r="178" spans="1:10" s="44" customFormat="1" ht="13" x14ac:dyDescent="0.15">
      <c r="A178" s="318" t="s">
        <v>82</v>
      </c>
      <c r="B178" s="318"/>
      <c r="C178" s="318"/>
      <c r="D178" s="318"/>
      <c r="E178" s="318"/>
      <c r="F178" s="318"/>
      <c r="G178" s="48"/>
      <c r="H178" s="214"/>
    </row>
    <row r="179" spans="1:10" s="44" customFormat="1" ht="13" x14ac:dyDescent="0.15">
      <c r="A179" s="318" t="s">
        <v>79</v>
      </c>
      <c r="B179" s="318"/>
      <c r="C179" s="318"/>
      <c r="D179" s="318"/>
      <c r="E179" s="318"/>
      <c r="F179" s="318"/>
      <c r="G179" s="48"/>
      <c r="H179" s="214"/>
    </row>
    <row r="180" spans="1:10" s="45" customFormat="1" ht="13" x14ac:dyDescent="0.15">
      <c r="A180" s="216" t="s">
        <v>55</v>
      </c>
      <c r="B180" s="217"/>
      <c r="C180" s="217"/>
      <c r="D180" s="217"/>
      <c r="E180" s="217"/>
      <c r="F180" s="217"/>
      <c r="G180" s="48"/>
      <c r="H180" s="214"/>
    </row>
    <row r="181" spans="1:10" s="45" customFormat="1" x14ac:dyDescent="0.15">
      <c r="A181" s="216" t="s">
        <v>31</v>
      </c>
      <c r="C181" s="219" t="s">
        <v>80</v>
      </c>
      <c r="D181" s="220"/>
      <c r="E181" s="217"/>
      <c r="F181" s="217"/>
      <c r="G181" s="48"/>
      <c r="H181" s="214"/>
    </row>
    <row r="182" spans="1:10" s="45" customFormat="1" x14ac:dyDescent="0.15">
      <c r="A182" s="216" t="s">
        <v>32</v>
      </c>
      <c r="C182" s="219" t="s">
        <v>80</v>
      </c>
      <c r="D182" s="220"/>
      <c r="E182" s="217"/>
      <c r="F182" s="217"/>
      <c r="G182" s="48"/>
      <c r="H182" s="214"/>
    </row>
    <row r="183" spans="1:10" s="45" customFormat="1" ht="13" x14ac:dyDescent="0.15">
      <c r="A183" s="218"/>
      <c r="B183" s="220"/>
      <c r="C183" s="220"/>
      <c r="D183" s="220"/>
      <c r="E183" s="217"/>
      <c r="F183" s="217"/>
      <c r="G183" s="48"/>
      <c r="H183" s="214"/>
    </row>
    <row r="184" spans="1:10" s="45" customFormat="1" ht="13" x14ac:dyDescent="0.15">
      <c r="A184" s="319" t="s">
        <v>50</v>
      </c>
      <c r="B184" s="319"/>
      <c r="C184" s="319"/>
      <c r="D184" s="319"/>
      <c r="E184" s="319"/>
      <c r="F184" s="319"/>
      <c r="G184" s="48"/>
      <c r="H184" s="214"/>
    </row>
    <row r="185" spans="1:10" s="45" customFormat="1" x14ac:dyDescent="0.15">
      <c r="A185" s="221" t="s">
        <v>80</v>
      </c>
      <c r="B185" s="222"/>
      <c r="C185" s="222"/>
      <c r="D185" s="222"/>
      <c r="E185" s="222"/>
      <c r="F185" s="222"/>
      <c r="G185" s="48"/>
      <c r="H185" s="214"/>
    </row>
    <row r="186" spans="1:10" s="45" customFormat="1" ht="13" x14ac:dyDescent="0.15">
      <c r="A186" s="215"/>
      <c r="B186" s="222"/>
      <c r="C186" s="222"/>
      <c r="D186" s="222"/>
      <c r="E186" s="222"/>
      <c r="F186" s="222"/>
      <c r="G186" s="48"/>
      <c r="H186" s="214"/>
    </row>
    <row r="187" spans="1:10" s="44" customFormat="1" ht="13" x14ac:dyDescent="0.15">
      <c r="A187" s="318" t="s">
        <v>33</v>
      </c>
      <c r="B187" s="318"/>
      <c r="C187" s="318"/>
      <c r="D187" s="318"/>
      <c r="E187" s="318"/>
      <c r="F187" s="318"/>
      <c r="G187" s="48"/>
      <c r="H187" s="214"/>
    </row>
    <row r="188" spans="1:10" x14ac:dyDescent="0.15">
      <c r="G188" s="48" t="s">
        <v>56</v>
      </c>
    </row>
    <row r="189" spans="1:10" s="44" customFormat="1" x14ac:dyDescent="0.15">
      <c r="A189" s="149" t="s">
        <v>11</v>
      </c>
      <c r="B189" s="149"/>
      <c r="C189" s="149"/>
      <c r="D189" s="149"/>
      <c r="E189" s="149"/>
      <c r="F189" s="149"/>
      <c r="G189" s="48" t="s">
        <v>56</v>
      </c>
      <c r="H189" s="129"/>
      <c r="I189" s="129"/>
      <c r="J189" s="130"/>
    </row>
    <row r="190" spans="1:10" s="44" customFormat="1" ht="42" customHeight="1" x14ac:dyDescent="0.15">
      <c r="A190" s="322" t="s">
        <v>42</v>
      </c>
      <c r="B190" s="322"/>
      <c r="C190" s="322"/>
      <c r="D190" s="322"/>
      <c r="E190" s="322"/>
      <c r="F190" s="322"/>
      <c r="G190" s="48" t="s">
        <v>56</v>
      </c>
      <c r="H190" s="129"/>
      <c r="I190" s="129"/>
      <c r="J190" s="130"/>
    </row>
    <row r="191" spans="1:10" s="44" customFormat="1" x14ac:dyDescent="0.15">
      <c r="A191" s="92" t="s">
        <v>77</v>
      </c>
      <c r="B191" s="92"/>
      <c r="C191" s="92"/>
      <c r="D191" s="92"/>
      <c r="E191" s="92"/>
      <c r="F191" s="92"/>
      <c r="G191" s="48" t="s">
        <v>56</v>
      </c>
      <c r="H191" s="131"/>
    </row>
    <row r="192" spans="1:10" s="44" customFormat="1" ht="12.5" customHeight="1" x14ac:dyDescent="0.15">
      <c r="A192" s="322" t="s">
        <v>34</v>
      </c>
      <c r="B192" s="322"/>
      <c r="C192" s="322"/>
      <c r="D192" s="322"/>
      <c r="E192" s="322"/>
      <c r="F192" s="322"/>
      <c r="G192" s="48" t="s">
        <v>56</v>
      </c>
      <c r="H192" s="129"/>
      <c r="I192" s="129"/>
      <c r="J192" s="130"/>
    </row>
    <row r="193" spans="1:39" s="44" customFormat="1" x14ac:dyDescent="0.15">
      <c r="A193" s="151"/>
      <c r="B193" s="151"/>
      <c r="C193" s="151"/>
      <c r="D193" s="152"/>
      <c r="E193" s="152"/>
      <c r="F193" s="151"/>
      <c r="G193" s="48" t="s">
        <v>56</v>
      </c>
      <c r="H193" s="153"/>
      <c r="I193" s="153"/>
      <c r="J193" s="153"/>
    </row>
    <row r="194" spans="1:39" s="44" customFormat="1" ht="30.75" customHeight="1" x14ac:dyDescent="0.15">
      <c r="A194" s="90" t="s">
        <v>65</v>
      </c>
      <c r="B194" s="149"/>
      <c r="C194" s="149"/>
      <c r="D194" s="149"/>
      <c r="E194" s="149"/>
      <c r="F194" s="149"/>
      <c r="G194" s="100"/>
      <c r="H194" s="129"/>
      <c r="I194" s="129"/>
      <c r="J194" s="129"/>
      <c r="K194" s="150"/>
      <c r="L194" s="150"/>
      <c r="M194" s="150"/>
      <c r="N194" s="150"/>
      <c r="O194" s="150"/>
      <c r="P194" s="150"/>
      <c r="Q194" s="150"/>
      <c r="R194" s="150"/>
      <c r="S194" s="150"/>
      <c r="T194" s="150"/>
      <c r="U194" s="150"/>
      <c r="V194" s="150"/>
      <c r="W194" s="150"/>
      <c r="X194" s="150"/>
      <c r="Y194" s="150"/>
      <c r="Z194" s="150"/>
      <c r="AA194" s="150"/>
      <c r="AB194" s="150"/>
      <c r="AC194" s="150"/>
      <c r="AD194" s="150"/>
      <c r="AE194" s="150"/>
      <c r="AF194" s="150"/>
      <c r="AG194" s="150"/>
      <c r="AH194" s="150"/>
      <c r="AI194" s="150"/>
      <c r="AJ194" s="150"/>
      <c r="AK194" s="150"/>
      <c r="AL194" s="150"/>
      <c r="AM194" s="150"/>
    </row>
    <row r="195" spans="1:39" s="44" customFormat="1" ht="29.25" customHeight="1" x14ac:dyDescent="0.15">
      <c r="A195" s="322" t="s">
        <v>35</v>
      </c>
      <c r="B195" s="322"/>
      <c r="C195" s="322"/>
      <c r="D195" s="322"/>
      <c r="E195" s="322"/>
      <c r="F195" s="322"/>
      <c r="G195" s="100"/>
      <c r="H195" s="129"/>
      <c r="I195" s="129"/>
      <c r="J195" s="129"/>
      <c r="K195" s="150"/>
      <c r="L195" s="150"/>
      <c r="M195" s="150"/>
      <c r="N195" s="150"/>
      <c r="O195" s="150"/>
      <c r="P195" s="150"/>
      <c r="Q195" s="150"/>
      <c r="R195" s="150"/>
      <c r="S195" s="150"/>
      <c r="T195" s="150"/>
      <c r="U195" s="150"/>
      <c r="V195" s="150"/>
      <c r="W195" s="150"/>
      <c r="X195" s="150"/>
      <c r="Y195" s="150"/>
      <c r="Z195" s="150"/>
      <c r="AA195" s="150"/>
      <c r="AB195" s="150"/>
      <c r="AC195" s="150"/>
      <c r="AD195" s="150"/>
      <c r="AE195" s="150"/>
      <c r="AF195" s="150"/>
      <c r="AG195" s="150"/>
      <c r="AH195" s="150"/>
      <c r="AI195" s="150"/>
      <c r="AJ195" s="150"/>
      <c r="AK195" s="150"/>
      <c r="AL195" s="150"/>
      <c r="AM195" s="150"/>
    </row>
    <row r="196" spans="1:39" s="44" customFormat="1" ht="22.5" customHeight="1" x14ac:dyDescent="0.15">
      <c r="A196" s="322" t="s">
        <v>36</v>
      </c>
      <c r="B196" s="322"/>
      <c r="C196" s="322"/>
      <c r="D196" s="322"/>
      <c r="E196" s="322"/>
      <c r="F196" s="322"/>
      <c r="G196" s="100"/>
      <c r="H196" s="129"/>
      <c r="I196" s="129"/>
      <c r="J196" s="129"/>
      <c r="K196" s="150"/>
      <c r="L196" s="150"/>
      <c r="M196" s="150"/>
      <c r="N196" s="150"/>
      <c r="O196" s="150"/>
      <c r="P196" s="150"/>
      <c r="Q196" s="150"/>
      <c r="R196" s="150"/>
      <c r="S196" s="150"/>
      <c r="T196" s="150"/>
      <c r="U196" s="150"/>
      <c r="V196" s="150"/>
      <c r="W196" s="150"/>
      <c r="X196" s="150"/>
      <c r="Y196" s="150"/>
      <c r="Z196" s="150"/>
      <c r="AA196" s="150"/>
      <c r="AB196" s="150"/>
      <c r="AC196" s="150"/>
      <c r="AD196" s="150"/>
      <c r="AE196" s="150"/>
      <c r="AF196" s="150"/>
      <c r="AG196" s="150"/>
      <c r="AH196" s="150"/>
      <c r="AI196" s="150"/>
      <c r="AJ196" s="150"/>
      <c r="AK196" s="150"/>
      <c r="AL196" s="150"/>
      <c r="AM196" s="150"/>
    </row>
    <row r="197" spans="1:39" s="44" customFormat="1" ht="12.5" customHeight="1" x14ac:dyDescent="0.15">
      <c r="A197" s="154" t="s">
        <v>12</v>
      </c>
      <c r="B197" s="154"/>
      <c r="C197" s="154"/>
      <c r="D197" s="154"/>
      <c r="E197" s="154"/>
      <c r="F197" s="154"/>
      <c r="G197" s="100"/>
      <c r="H197" s="129"/>
      <c r="I197" s="129"/>
      <c r="J197" s="129"/>
      <c r="K197" s="150"/>
      <c r="L197" s="150"/>
      <c r="M197" s="150"/>
      <c r="N197" s="150"/>
      <c r="O197" s="150"/>
      <c r="P197" s="150"/>
      <c r="Q197" s="150"/>
      <c r="R197" s="150"/>
      <c r="S197" s="150"/>
      <c r="T197" s="150"/>
      <c r="U197" s="150"/>
      <c r="V197" s="150"/>
      <c r="W197" s="150"/>
      <c r="X197" s="150"/>
      <c r="Y197" s="150"/>
      <c r="Z197" s="150"/>
      <c r="AA197" s="150"/>
      <c r="AB197" s="150"/>
      <c r="AC197" s="150"/>
      <c r="AD197" s="150"/>
      <c r="AE197" s="150"/>
      <c r="AF197" s="150"/>
      <c r="AG197" s="150"/>
      <c r="AH197" s="150"/>
      <c r="AI197" s="150"/>
      <c r="AJ197" s="150"/>
      <c r="AK197" s="150"/>
      <c r="AL197" s="150"/>
      <c r="AM197" s="150"/>
    </row>
    <row r="198" spans="1:39" s="44" customFormat="1" x14ac:dyDescent="0.15">
      <c r="A198" s="94" t="s">
        <v>71</v>
      </c>
      <c r="B198" s="94"/>
      <c r="C198" s="94"/>
      <c r="D198" s="94"/>
      <c r="E198" s="94"/>
      <c r="F198" s="94"/>
      <c r="G198" s="155"/>
      <c r="H198" s="129"/>
      <c r="I198" s="129"/>
      <c r="J198" s="129"/>
      <c r="K198" s="150"/>
      <c r="L198" s="150"/>
      <c r="M198" s="150"/>
      <c r="N198" s="150"/>
      <c r="O198" s="150"/>
      <c r="P198" s="150"/>
      <c r="Q198" s="150"/>
      <c r="R198" s="150"/>
      <c r="S198" s="150"/>
      <c r="T198" s="150"/>
      <c r="U198" s="150"/>
      <c r="V198" s="150"/>
      <c r="W198" s="150"/>
      <c r="X198" s="150"/>
      <c r="Y198" s="150"/>
      <c r="Z198" s="150"/>
      <c r="AA198" s="150"/>
      <c r="AB198" s="150"/>
      <c r="AC198" s="150"/>
      <c r="AD198" s="150"/>
      <c r="AE198" s="150"/>
      <c r="AF198" s="150"/>
      <c r="AG198" s="150"/>
      <c r="AH198" s="150"/>
      <c r="AI198" s="150"/>
      <c r="AJ198" s="150"/>
      <c r="AK198" s="150"/>
      <c r="AL198" s="150"/>
      <c r="AM198" s="150"/>
    </row>
    <row r="199" spans="1:39" s="44" customFormat="1" x14ac:dyDescent="0.15">
      <c r="A199" s="94" t="s">
        <v>72</v>
      </c>
      <c r="B199" s="94"/>
      <c r="C199" s="94"/>
      <c r="D199" s="94"/>
      <c r="E199" s="94"/>
      <c r="F199" s="94"/>
      <c r="G199" s="155"/>
      <c r="H199" s="129"/>
      <c r="I199" s="129"/>
      <c r="J199" s="129"/>
      <c r="K199" s="150"/>
      <c r="L199" s="150"/>
      <c r="M199" s="150"/>
      <c r="N199" s="150"/>
      <c r="O199" s="150"/>
      <c r="P199" s="150"/>
      <c r="Q199" s="150"/>
      <c r="R199" s="150"/>
      <c r="S199" s="150"/>
      <c r="T199" s="150"/>
      <c r="U199" s="150"/>
      <c r="V199" s="150"/>
      <c r="W199" s="150"/>
      <c r="X199" s="150"/>
      <c r="Y199" s="150"/>
      <c r="Z199" s="150"/>
      <c r="AA199" s="150"/>
      <c r="AB199" s="150"/>
      <c r="AC199" s="150"/>
      <c r="AD199" s="150"/>
      <c r="AE199" s="150"/>
      <c r="AF199" s="150"/>
      <c r="AG199" s="150"/>
      <c r="AH199" s="150"/>
      <c r="AI199" s="150"/>
      <c r="AJ199" s="150"/>
      <c r="AK199" s="150"/>
      <c r="AL199" s="150"/>
      <c r="AM199" s="150"/>
    </row>
    <row r="200" spans="1:39" s="44" customFormat="1" x14ac:dyDescent="0.15">
      <c r="A200" s="94" t="s">
        <v>73</v>
      </c>
      <c r="B200" s="94"/>
      <c r="C200" s="94"/>
      <c r="D200" s="94"/>
      <c r="E200" s="94"/>
      <c r="F200" s="94"/>
      <c r="G200" s="155"/>
      <c r="H200" s="129"/>
      <c r="I200" s="129"/>
      <c r="J200" s="129"/>
      <c r="K200" s="150"/>
      <c r="L200" s="150"/>
      <c r="M200" s="150"/>
      <c r="N200" s="150"/>
      <c r="O200" s="150"/>
      <c r="P200" s="150"/>
      <c r="Q200" s="150"/>
      <c r="R200" s="150"/>
      <c r="S200" s="150"/>
      <c r="T200" s="150"/>
      <c r="U200" s="150"/>
      <c r="V200" s="150"/>
      <c r="W200" s="150"/>
      <c r="X200" s="150"/>
      <c r="Y200" s="150"/>
      <c r="Z200" s="150"/>
      <c r="AA200" s="150"/>
      <c r="AB200" s="150"/>
      <c r="AC200" s="150"/>
      <c r="AD200" s="150"/>
      <c r="AE200" s="150"/>
      <c r="AF200" s="150"/>
      <c r="AG200" s="150"/>
      <c r="AH200" s="150"/>
      <c r="AI200" s="150"/>
      <c r="AJ200" s="150"/>
      <c r="AK200" s="150"/>
      <c r="AL200" s="150"/>
      <c r="AM200" s="150"/>
    </row>
    <row r="201" spans="1:39" s="44" customFormat="1" x14ac:dyDescent="0.15">
      <c r="A201" s="94" t="s">
        <v>74</v>
      </c>
      <c r="B201" s="94"/>
      <c r="C201" s="94"/>
      <c r="D201" s="94"/>
      <c r="E201" s="94"/>
      <c r="F201" s="94"/>
      <c r="G201" s="155"/>
      <c r="H201" s="129"/>
      <c r="I201" s="129"/>
      <c r="J201" s="129"/>
      <c r="K201" s="150"/>
      <c r="L201" s="150"/>
      <c r="M201" s="150"/>
      <c r="N201" s="150"/>
      <c r="O201" s="150"/>
      <c r="P201" s="150"/>
      <c r="Q201" s="150"/>
      <c r="R201" s="150"/>
      <c r="S201" s="150"/>
      <c r="T201" s="150"/>
      <c r="U201" s="150"/>
      <c r="V201" s="150"/>
      <c r="W201" s="150"/>
      <c r="X201" s="150"/>
      <c r="Y201" s="150"/>
      <c r="Z201" s="150"/>
      <c r="AA201" s="150"/>
      <c r="AB201" s="150"/>
      <c r="AC201" s="150"/>
      <c r="AD201" s="150"/>
      <c r="AE201" s="150"/>
      <c r="AF201" s="150"/>
      <c r="AG201" s="150"/>
      <c r="AH201" s="150"/>
      <c r="AI201" s="150"/>
      <c r="AJ201" s="150"/>
      <c r="AK201" s="150"/>
      <c r="AL201" s="150"/>
      <c r="AM201" s="150"/>
    </row>
    <row r="202" spans="1:39" s="44" customFormat="1" x14ac:dyDescent="0.15">
      <c r="A202" s="94" t="s">
        <v>81</v>
      </c>
      <c r="B202" s="94"/>
      <c r="C202" s="94"/>
      <c r="D202" s="94"/>
      <c r="E202" s="94"/>
      <c r="F202" s="94"/>
      <c r="G202" s="155"/>
      <c r="H202" s="129"/>
      <c r="I202" s="129"/>
      <c r="J202" s="129"/>
      <c r="K202" s="150"/>
      <c r="L202" s="150"/>
      <c r="M202" s="150"/>
      <c r="N202" s="150"/>
      <c r="O202" s="150"/>
      <c r="P202" s="150"/>
      <c r="Q202" s="150"/>
      <c r="R202" s="150"/>
      <c r="S202" s="150"/>
      <c r="T202" s="150"/>
      <c r="U202" s="150"/>
      <c r="V202" s="150"/>
      <c r="W202" s="150"/>
      <c r="X202" s="150"/>
      <c r="Y202" s="150"/>
      <c r="Z202" s="150"/>
      <c r="AA202" s="150"/>
      <c r="AB202" s="150"/>
      <c r="AC202" s="150"/>
      <c r="AD202" s="150"/>
      <c r="AE202" s="150"/>
      <c r="AF202" s="150"/>
      <c r="AG202" s="150"/>
      <c r="AH202" s="150"/>
      <c r="AI202" s="150"/>
      <c r="AJ202" s="150"/>
      <c r="AK202" s="150"/>
      <c r="AL202" s="150"/>
      <c r="AM202" s="150"/>
    </row>
    <row r="203" spans="1:39" s="44" customFormat="1" x14ac:dyDescent="0.15">
      <c r="A203" s="156"/>
      <c r="B203" s="156"/>
      <c r="C203" s="156"/>
      <c r="D203" s="156"/>
      <c r="E203" s="156"/>
      <c r="F203" s="156"/>
      <c r="G203" s="48" t="s">
        <v>56</v>
      </c>
      <c r="H203" s="129"/>
      <c r="I203" s="129"/>
      <c r="J203" s="130"/>
    </row>
    <row r="204" spans="1:39" s="44" customFormat="1" ht="12.75" customHeight="1" x14ac:dyDescent="0.15">
      <c r="A204" s="156" t="s">
        <v>66</v>
      </c>
      <c r="B204" s="156"/>
      <c r="C204" s="156"/>
      <c r="D204" s="156"/>
      <c r="E204" s="156"/>
      <c r="F204" s="156"/>
      <c r="G204" s="48" t="s">
        <v>56</v>
      </c>
      <c r="H204" s="129"/>
      <c r="I204" s="129"/>
      <c r="J204" s="130"/>
    </row>
    <row r="205" spans="1:39" s="44" customFormat="1" ht="14.25" customHeight="1" x14ac:dyDescent="0.15">
      <c r="A205" s="90"/>
      <c r="B205" s="90"/>
      <c r="C205" s="90"/>
      <c r="D205" s="90"/>
      <c r="E205" s="90"/>
      <c r="F205" s="90"/>
      <c r="G205" s="48" t="s">
        <v>56</v>
      </c>
      <c r="H205" s="129"/>
      <c r="I205" s="129"/>
      <c r="J205" s="130"/>
    </row>
    <row r="206" spans="1:39" s="19" customFormat="1" ht="21.5" customHeight="1" x14ac:dyDescent="0.15">
      <c r="A206" s="157" t="s">
        <v>69</v>
      </c>
      <c r="B206" s="158"/>
      <c r="C206" s="5"/>
      <c r="D206" s="159"/>
      <c r="E206" s="159"/>
      <c r="F206" s="160"/>
      <c r="G206" s="48" t="s">
        <v>56</v>
      </c>
      <c r="H206" s="161"/>
    </row>
    <row r="207" spans="1:39" ht="171" customHeight="1" x14ac:dyDescent="0.15">
      <c r="A207" s="322" t="s">
        <v>70</v>
      </c>
      <c r="B207" s="322"/>
      <c r="C207" s="322"/>
      <c r="D207" s="322"/>
      <c r="E207" s="322"/>
      <c r="F207" s="322"/>
      <c r="G207" s="48" t="s">
        <v>56</v>
      </c>
      <c r="H207" s="89"/>
      <c r="I207" s="1"/>
      <c r="J207" s="1"/>
    </row>
    <row r="208" spans="1:39" ht="13.5" customHeight="1" x14ac:dyDescent="0.15">
      <c r="A208" s="162"/>
      <c r="B208" s="162"/>
      <c r="C208" s="162"/>
      <c r="D208" s="162"/>
      <c r="E208" s="162"/>
      <c r="F208" s="162"/>
      <c r="G208" s="48" t="s">
        <v>56</v>
      </c>
      <c r="H208" s="89"/>
      <c r="I208" s="1"/>
      <c r="J208" s="1"/>
    </row>
    <row r="209" spans="1:10" s="44" customFormat="1" x14ac:dyDescent="0.15">
      <c r="A209" s="149" t="s">
        <v>13</v>
      </c>
      <c r="B209" s="149"/>
      <c r="C209" s="149"/>
      <c r="D209" s="149"/>
      <c r="E209" s="149"/>
      <c r="F209" s="149"/>
      <c r="G209" s="48" t="s">
        <v>56</v>
      </c>
      <c r="H209" s="129"/>
      <c r="I209" s="129"/>
      <c r="J209" s="130"/>
    </row>
    <row r="210" spans="1:10" s="44" customFormat="1" ht="26" customHeight="1" x14ac:dyDescent="0.15">
      <c r="A210" s="322" t="s">
        <v>58</v>
      </c>
      <c r="B210" s="322"/>
      <c r="C210" s="322"/>
      <c r="D210" s="322"/>
      <c r="E210" s="322"/>
      <c r="F210" s="322"/>
      <c r="G210" s="48" t="s">
        <v>56</v>
      </c>
      <c r="H210" s="129"/>
      <c r="I210" s="129"/>
      <c r="J210" s="130"/>
    </row>
    <row r="211" spans="1:10" s="44" customFormat="1" ht="12.5" customHeight="1" x14ac:dyDescent="0.15">
      <c r="A211" s="322" t="s">
        <v>14</v>
      </c>
      <c r="B211" s="322"/>
      <c r="C211" s="322"/>
      <c r="D211" s="322"/>
      <c r="E211" s="322"/>
      <c r="F211" s="322"/>
      <c r="G211" s="48" t="s">
        <v>56</v>
      </c>
      <c r="H211" s="99"/>
      <c r="I211" s="99"/>
      <c r="J211" s="99"/>
    </row>
    <row r="212" spans="1:10" s="44" customFormat="1" ht="12.5" customHeight="1" x14ac:dyDescent="0.15">
      <c r="A212" s="322" t="s">
        <v>37</v>
      </c>
      <c r="B212" s="322"/>
      <c r="C212" s="322"/>
      <c r="D212" s="322"/>
      <c r="E212" s="322"/>
      <c r="F212" s="322"/>
      <c r="G212" s="48" t="s">
        <v>56</v>
      </c>
      <c r="H212" s="99"/>
      <c r="I212" s="99"/>
      <c r="J212" s="99"/>
    </row>
    <row r="213" spans="1:10" s="44" customFormat="1" ht="25.5" customHeight="1" x14ac:dyDescent="0.15">
      <c r="A213" s="322" t="s">
        <v>15</v>
      </c>
      <c r="B213" s="322"/>
      <c r="C213" s="322"/>
      <c r="D213" s="322"/>
      <c r="E213" s="322"/>
      <c r="F213" s="322"/>
      <c r="G213" s="48" t="s">
        <v>56</v>
      </c>
      <c r="H213" s="99"/>
      <c r="I213" s="99"/>
      <c r="J213" s="99"/>
    </row>
    <row r="214" spans="1:10" s="44" customFormat="1" ht="12.5" customHeight="1" x14ac:dyDescent="0.15">
      <c r="A214" s="322" t="s">
        <v>16</v>
      </c>
      <c r="B214" s="322"/>
      <c r="C214" s="322"/>
      <c r="D214" s="322"/>
      <c r="E214" s="322"/>
      <c r="F214" s="322"/>
      <c r="G214" s="48" t="s">
        <v>56</v>
      </c>
      <c r="H214" s="99"/>
      <c r="I214" s="99"/>
      <c r="J214" s="99"/>
    </row>
    <row r="215" spans="1:10" s="44" customFormat="1" ht="12.5" customHeight="1" x14ac:dyDescent="0.15">
      <c r="A215" s="322" t="s">
        <v>44</v>
      </c>
      <c r="B215" s="322"/>
      <c r="C215" s="322"/>
      <c r="D215" s="322"/>
      <c r="E215" s="322"/>
      <c r="F215" s="322"/>
      <c r="G215" s="48" t="s">
        <v>56</v>
      </c>
      <c r="H215" s="129"/>
      <c r="I215" s="129"/>
      <c r="J215" s="130"/>
    </row>
    <row r="216" spans="1:10" s="44" customFormat="1" ht="12.5" customHeight="1" x14ac:dyDescent="0.15">
      <c r="A216" s="322" t="s">
        <v>38</v>
      </c>
      <c r="B216" s="322"/>
      <c r="C216" s="322"/>
      <c r="D216" s="322"/>
      <c r="E216" s="322"/>
      <c r="F216" s="322"/>
      <c r="G216" s="48" t="s">
        <v>56</v>
      </c>
      <c r="H216" s="129"/>
      <c r="I216" s="129"/>
      <c r="J216" s="130"/>
    </row>
    <row r="217" spans="1:10" s="44" customFormat="1" ht="45" customHeight="1" x14ac:dyDescent="0.15">
      <c r="A217" s="335" t="s">
        <v>78</v>
      </c>
      <c r="B217" s="335"/>
      <c r="C217" s="335"/>
      <c r="D217" s="335"/>
      <c r="E217" s="335"/>
      <c r="F217" s="335"/>
      <c r="G217" s="48" t="s">
        <v>56</v>
      </c>
      <c r="H217" s="129"/>
      <c r="I217" s="129"/>
      <c r="J217" s="130"/>
    </row>
    <row r="218" spans="1:10" s="44" customFormat="1" x14ac:dyDescent="0.15">
      <c r="A218" s="163"/>
      <c r="B218" s="163"/>
      <c r="C218" s="163"/>
      <c r="D218" s="163"/>
      <c r="E218" s="163"/>
      <c r="F218" s="163"/>
      <c r="G218" s="48" t="s">
        <v>56</v>
      </c>
      <c r="H218" s="129"/>
      <c r="I218" s="129"/>
      <c r="J218" s="130"/>
    </row>
    <row r="219" spans="1:10" s="46" customFormat="1" x14ac:dyDescent="0.15">
      <c r="A219" s="164" t="s">
        <v>39</v>
      </c>
      <c r="B219" s="165"/>
      <c r="C219" s="93"/>
      <c r="D219" s="166"/>
      <c r="E219" s="166"/>
      <c r="F219" s="167"/>
      <c r="G219" s="48" t="s">
        <v>56</v>
      </c>
      <c r="H219" s="89"/>
      <c r="I219" s="89"/>
      <c r="J219" s="89"/>
    </row>
    <row r="220" spans="1:10" s="46" customFormat="1" ht="12.5" customHeight="1" x14ac:dyDescent="0.15">
      <c r="A220" s="322" t="s">
        <v>59</v>
      </c>
      <c r="B220" s="322"/>
      <c r="C220" s="322"/>
      <c r="D220" s="322"/>
      <c r="E220" s="322"/>
      <c r="F220" s="322"/>
      <c r="G220" s="48" t="s">
        <v>56</v>
      </c>
      <c r="H220" s="132"/>
      <c r="I220" s="132"/>
      <c r="J220" s="89"/>
    </row>
    <row r="221" spans="1:10" s="46" customFormat="1" ht="12.5" customHeight="1" x14ac:dyDescent="0.15">
      <c r="A221" s="322" t="s">
        <v>60</v>
      </c>
      <c r="B221" s="322"/>
      <c r="C221" s="322"/>
      <c r="D221" s="322"/>
      <c r="E221" s="322"/>
      <c r="F221" s="322"/>
      <c r="G221" s="48" t="s">
        <v>56</v>
      </c>
      <c r="H221" s="132"/>
      <c r="I221" s="132"/>
      <c r="J221" s="89"/>
    </row>
    <row r="222" spans="1:10" s="46" customFormat="1" x14ac:dyDescent="0.15">
      <c r="A222" s="168"/>
      <c r="B222" s="165"/>
      <c r="C222" s="93"/>
      <c r="D222" s="166"/>
      <c r="E222" s="166"/>
      <c r="F222" s="167"/>
      <c r="G222" s="48" t="s">
        <v>56</v>
      </c>
      <c r="H222" s="89"/>
      <c r="I222" s="89"/>
      <c r="J222" s="89"/>
    </row>
    <row r="223" spans="1:10" s="44" customFormat="1" x14ac:dyDescent="0.15">
      <c r="A223" s="149" t="s">
        <v>17</v>
      </c>
      <c r="B223" s="149"/>
      <c r="C223" s="149"/>
      <c r="D223" s="149"/>
      <c r="E223" s="149"/>
      <c r="F223" s="149"/>
      <c r="G223" s="48" t="s">
        <v>56</v>
      </c>
      <c r="H223" s="129"/>
      <c r="I223" s="129"/>
      <c r="J223" s="130"/>
    </row>
    <row r="224" spans="1:10" s="44" customFormat="1" ht="27" customHeight="1" x14ac:dyDescent="0.15">
      <c r="A224" s="322" t="s">
        <v>18</v>
      </c>
      <c r="B224" s="322"/>
      <c r="C224" s="322"/>
      <c r="D224" s="322"/>
      <c r="E224" s="322"/>
      <c r="F224" s="322"/>
      <c r="G224" s="48" t="s">
        <v>56</v>
      </c>
      <c r="H224" s="129"/>
      <c r="I224" s="129"/>
      <c r="J224" s="130"/>
    </row>
    <row r="225" spans="1:10" s="44" customFormat="1" x14ac:dyDescent="0.15">
      <c r="A225" s="90"/>
      <c r="B225" s="90"/>
      <c r="C225" s="90"/>
      <c r="D225" s="91"/>
      <c r="E225" s="91"/>
      <c r="F225" s="90"/>
      <c r="G225" s="48" t="s">
        <v>56</v>
      </c>
      <c r="H225" s="131"/>
      <c r="I225" s="131"/>
      <c r="J225" s="131"/>
    </row>
    <row r="226" spans="1:10" s="44" customFormat="1" x14ac:dyDescent="0.15">
      <c r="A226" s="156" t="s">
        <v>40</v>
      </c>
      <c r="B226" s="156"/>
      <c r="C226" s="156"/>
      <c r="D226" s="156"/>
      <c r="E226" s="156"/>
      <c r="F226" s="156"/>
      <c r="G226" s="48" t="s">
        <v>56</v>
      </c>
      <c r="H226" s="129"/>
      <c r="I226" s="129"/>
      <c r="J226" s="130"/>
    </row>
    <row r="227" spans="1:10" s="44" customFormat="1" x14ac:dyDescent="0.15">
      <c r="A227" s="90"/>
      <c r="B227" s="90"/>
      <c r="C227" s="90"/>
      <c r="D227" s="90"/>
      <c r="F227" s="90"/>
      <c r="G227" s="48" t="s">
        <v>56</v>
      </c>
      <c r="H227" s="129"/>
      <c r="I227" s="129"/>
      <c r="J227" s="130"/>
    </row>
    <row r="228" spans="1:10" s="47" customFormat="1" ht="12.5" customHeight="1" x14ac:dyDescent="0.15">
      <c r="A228" s="156" t="s">
        <v>41</v>
      </c>
      <c r="B228" s="156"/>
      <c r="C228" s="156"/>
      <c r="D228" s="169"/>
      <c r="F228" s="156" t="s">
        <v>45</v>
      </c>
      <c r="G228" s="48" t="s">
        <v>56</v>
      </c>
      <c r="H228" s="133"/>
      <c r="I228" s="133"/>
      <c r="J228" s="103"/>
    </row>
    <row r="229" spans="1:10" s="47" customFormat="1" x14ac:dyDescent="0.15">
      <c r="A229" s="92" t="s">
        <v>68</v>
      </c>
      <c r="B229" s="156"/>
      <c r="C229" s="156"/>
      <c r="D229" s="169"/>
      <c r="F229" s="147" t="s">
        <v>68</v>
      </c>
      <c r="G229" s="48" t="s">
        <v>56</v>
      </c>
      <c r="H229" s="133"/>
      <c r="I229" s="133"/>
      <c r="J229" s="103"/>
    </row>
    <row r="230" spans="1:10" s="47" customFormat="1" x14ac:dyDescent="0.15">
      <c r="A230" s="156"/>
      <c r="B230" s="156"/>
      <c r="C230" s="156"/>
      <c r="D230" s="169"/>
      <c r="F230" s="169"/>
      <c r="G230" s="48" t="s">
        <v>56</v>
      </c>
      <c r="H230" s="170"/>
      <c r="I230" s="170"/>
      <c r="J230" s="170"/>
    </row>
    <row r="231" spans="1:10" s="47" customFormat="1" x14ac:dyDescent="0.15">
      <c r="A231" s="156"/>
      <c r="B231" s="156"/>
      <c r="C231" s="156"/>
      <c r="D231" s="169"/>
      <c r="F231" s="169"/>
      <c r="G231" s="48" t="s">
        <v>56</v>
      </c>
      <c r="H231" s="170"/>
      <c r="I231" s="170"/>
      <c r="J231" s="170"/>
    </row>
    <row r="232" spans="1:10" s="47" customFormat="1" ht="12.5" customHeight="1" x14ac:dyDescent="0.15">
      <c r="A232" s="156" t="s">
        <v>19</v>
      </c>
      <c r="B232" s="156"/>
      <c r="C232" s="156"/>
      <c r="D232" s="169"/>
      <c r="F232" s="171" t="s">
        <v>19</v>
      </c>
      <c r="G232" s="48" t="s">
        <v>56</v>
      </c>
      <c r="H232" s="133"/>
      <c r="I232" s="133"/>
      <c r="J232" s="103"/>
    </row>
    <row r="233" spans="1:10" ht="17.25" customHeight="1" x14ac:dyDescent="0.15">
      <c r="D233" s="49"/>
      <c r="E233" s="49"/>
      <c r="G233" s="48" t="s">
        <v>56</v>
      </c>
      <c r="H233" s="89"/>
      <c r="I233" s="89"/>
      <c r="J233" s="89"/>
    </row>
    <row r="234" spans="1:10" x14ac:dyDescent="0.15">
      <c r="D234" s="49"/>
      <c r="E234" s="49"/>
      <c r="G234" s="48" t="s">
        <v>56</v>
      </c>
      <c r="H234" s="89"/>
      <c r="I234" s="89"/>
      <c r="J234" s="89"/>
    </row>
    <row r="235" spans="1:10" x14ac:dyDescent="0.15">
      <c r="D235" s="49"/>
      <c r="E235" s="49"/>
      <c r="G235" s="48" t="s">
        <v>56</v>
      </c>
      <c r="H235" s="89"/>
      <c r="I235" s="89"/>
      <c r="J235" s="89"/>
    </row>
    <row r="236" spans="1:10" x14ac:dyDescent="0.15">
      <c r="G236" s="48" t="s">
        <v>56</v>
      </c>
    </row>
    <row r="237" spans="1:10" x14ac:dyDescent="0.15">
      <c r="G237" s="48" t="s">
        <v>56</v>
      </c>
    </row>
  </sheetData>
  <mergeCells count="32">
    <mergeCell ref="A212:F212"/>
    <mergeCell ref="A213:F213"/>
    <mergeCell ref="A210:F210"/>
    <mergeCell ref="A221:F221"/>
    <mergeCell ref="A224:F224"/>
    <mergeCell ref="A214:F214"/>
    <mergeCell ref="A215:F215"/>
    <mergeCell ref="A216:F216"/>
    <mergeCell ref="A217:F217"/>
    <mergeCell ref="A220:F220"/>
    <mergeCell ref="A192:F192"/>
    <mergeCell ref="A195:F195"/>
    <mergeCell ref="A196:F196"/>
    <mergeCell ref="A207:F207"/>
    <mergeCell ref="A211:F211"/>
    <mergeCell ref="A190:F190"/>
    <mergeCell ref="A175:F175"/>
    <mergeCell ref="A4:F4"/>
    <mergeCell ref="B9:D9"/>
    <mergeCell ref="B5:D5"/>
    <mergeCell ref="B6:D6"/>
    <mergeCell ref="B7:D7"/>
    <mergeCell ref="B8:D8"/>
    <mergeCell ref="A139:F139"/>
    <mergeCell ref="A65:F65"/>
    <mergeCell ref="A42:F42"/>
    <mergeCell ref="A71:F71"/>
    <mergeCell ref="A178:F178"/>
    <mergeCell ref="A179:F179"/>
    <mergeCell ref="A184:F184"/>
    <mergeCell ref="A187:F187"/>
    <mergeCell ref="B13:F13"/>
  </mergeCells>
  <hyperlinks>
    <hyperlink ref="C181" r:id="rId1" xr:uid="{041AA8A5-7FDA-4798-862E-3D0CE015E43D}"/>
    <hyperlink ref="C182" r:id="rId2" xr:uid="{59E4E6B4-79E1-40B1-81FB-FD1BE4E33F8A}"/>
    <hyperlink ref="A185" r:id="rId3" xr:uid="{84F79FC2-6F11-4960-B05D-0B82B2793B6A}"/>
  </hyperlinks>
  <printOptions horizontalCentered="1"/>
  <pageMargins left="0.25" right="0.25" top="0.75" bottom="0.75" header="0.3" footer="0.3"/>
  <pageSetup paperSize="9" scale="64" orientation="portrait" r:id="rId4"/>
  <headerFooter>
    <oddFooter xml:space="preserve">&amp;LLiberty International Tourism Group&amp;C&amp;P
</oddFooter>
  </headerFooter>
  <colBreaks count="1" manualBreakCount="1">
    <brk id="6" max="212" man="1"/>
  </colBreaks>
  <drawing r:id="rId5"/>
  <legacyDrawing r:id="rId6"/>
  <mc:AlternateContent xmlns:mc="http://schemas.openxmlformats.org/markup-compatibility/2006">
    <mc:Choice Requires="x14">
      <controls>
        <mc:AlternateContent xmlns:mc="http://schemas.openxmlformats.org/markup-compatibility/2006">
          <mc:Choice Requires="x14">
            <control shapeId="11265" r:id="rId7" name="Check Box 1">
              <controlPr defaultSize="0" autoFill="0" autoLine="0" autoPict="0">
                <anchor moveWithCells="1">
                  <from>
                    <xdr:col>0</xdr:col>
                    <xdr:colOff>101600</xdr:colOff>
                    <xdr:row>12</xdr:row>
                    <xdr:rowOff>0</xdr:rowOff>
                  </from>
                  <to>
                    <xdr:col>0</xdr:col>
                    <xdr:colOff>914400</xdr:colOff>
                    <xdr:row>13</xdr:row>
                    <xdr:rowOff>25400</xdr:rowOff>
                  </to>
                </anchor>
              </controlPr>
            </control>
          </mc:Choice>
        </mc:AlternateContent>
        <mc:AlternateContent xmlns:mc="http://schemas.openxmlformats.org/markup-compatibility/2006">
          <mc:Choice Requires="x14">
            <control shapeId="11266" r:id="rId8" name="Check Box 2">
              <controlPr defaultSize="0" autoFill="0" autoLine="0" autoPict="0">
                <anchor moveWithCells="1">
                  <from>
                    <xdr:col>0</xdr:col>
                    <xdr:colOff>101600</xdr:colOff>
                    <xdr:row>15</xdr:row>
                    <xdr:rowOff>177800</xdr:rowOff>
                  </from>
                  <to>
                    <xdr:col>0</xdr:col>
                    <xdr:colOff>939800</xdr:colOff>
                    <xdr:row>17</xdr:row>
                    <xdr:rowOff>25400</xdr:rowOff>
                  </to>
                </anchor>
              </controlPr>
            </control>
          </mc:Choice>
        </mc:AlternateContent>
        <mc:AlternateContent xmlns:mc="http://schemas.openxmlformats.org/markup-compatibility/2006">
          <mc:Choice Requires="x14">
            <control shapeId="11267" r:id="rId9" name="Check Box 3">
              <controlPr defaultSize="0" autoFill="0" autoLine="0" autoPict="0">
                <anchor moveWithCells="1">
                  <from>
                    <xdr:col>0</xdr:col>
                    <xdr:colOff>101600</xdr:colOff>
                    <xdr:row>14</xdr:row>
                    <xdr:rowOff>177800</xdr:rowOff>
                  </from>
                  <to>
                    <xdr:col>0</xdr:col>
                    <xdr:colOff>939800</xdr:colOff>
                    <xdr:row>16</xdr:row>
                    <xdr:rowOff>25400</xdr:rowOff>
                  </to>
                </anchor>
              </controlPr>
            </control>
          </mc:Choice>
        </mc:AlternateContent>
        <mc:AlternateContent xmlns:mc="http://schemas.openxmlformats.org/markup-compatibility/2006">
          <mc:Choice Requires="x14">
            <control shapeId="11268" r:id="rId10" name="Check Box 4">
              <controlPr defaultSize="0" autoFill="0" autoLine="0" autoPict="0">
                <anchor moveWithCells="1">
                  <from>
                    <xdr:col>0</xdr:col>
                    <xdr:colOff>101600</xdr:colOff>
                    <xdr:row>15</xdr:row>
                    <xdr:rowOff>177800</xdr:rowOff>
                  </from>
                  <to>
                    <xdr:col>0</xdr:col>
                    <xdr:colOff>939800</xdr:colOff>
                    <xdr:row>17</xdr:row>
                    <xdr:rowOff>25400</xdr:rowOff>
                  </to>
                </anchor>
              </controlPr>
            </control>
          </mc:Choice>
        </mc:AlternateContent>
        <mc:AlternateContent xmlns:mc="http://schemas.openxmlformats.org/markup-compatibility/2006">
          <mc:Choice Requires="x14">
            <control shapeId="11269" r:id="rId11" name="Check Box 5">
              <controlPr defaultSize="0" autoFill="0" autoLine="0" autoPict="0">
                <anchor moveWithCells="1">
                  <from>
                    <xdr:col>0</xdr:col>
                    <xdr:colOff>101600</xdr:colOff>
                    <xdr:row>14</xdr:row>
                    <xdr:rowOff>177800</xdr:rowOff>
                  </from>
                  <to>
                    <xdr:col>0</xdr:col>
                    <xdr:colOff>939800</xdr:colOff>
                    <xdr:row>16</xdr:row>
                    <xdr:rowOff>25400</xdr:rowOff>
                  </to>
                </anchor>
              </controlPr>
            </control>
          </mc:Choice>
        </mc:AlternateContent>
        <mc:AlternateContent xmlns:mc="http://schemas.openxmlformats.org/markup-compatibility/2006">
          <mc:Choice Requires="x14">
            <control shapeId="11270" r:id="rId12" name="Check Box 6">
              <controlPr defaultSize="0" autoFill="0" autoLine="0" autoPict="0">
                <anchor moveWithCells="1">
                  <from>
                    <xdr:col>0</xdr:col>
                    <xdr:colOff>101600</xdr:colOff>
                    <xdr:row>15</xdr:row>
                    <xdr:rowOff>177800</xdr:rowOff>
                  </from>
                  <to>
                    <xdr:col>0</xdr:col>
                    <xdr:colOff>939800</xdr:colOff>
                    <xdr:row>17</xdr:row>
                    <xdr:rowOff>25400</xdr:rowOff>
                  </to>
                </anchor>
              </controlPr>
            </control>
          </mc:Choice>
        </mc:AlternateContent>
        <mc:AlternateContent xmlns:mc="http://schemas.openxmlformats.org/markup-compatibility/2006">
          <mc:Choice Requires="x14">
            <control shapeId="11271" r:id="rId13" name="Check Box 7">
              <controlPr defaultSize="0" autoFill="0" autoLine="0" autoPict="0">
                <anchor moveWithCells="1">
                  <from>
                    <xdr:col>0</xdr:col>
                    <xdr:colOff>101600</xdr:colOff>
                    <xdr:row>14</xdr:row>
                    <xdr:rowOff>177800</xdr:rowOff>
                  </from>
                  <to>
                    <xdr:col>0</xdr:col>
                    <xdr:colOff>939800</xdr:colOff>
                    <xdr:row>16</xdr:row>
                    <xdr:rowOff>25400</xdr:rowOff>
                  </to>
                </anchor>
              </controlPr>
            </control>
          </mc:Choice>
        </mc:AlternateContent>
        <mc:AlternateContent xmlns:mc="http://schemas.openxmlformats.org/markup-compatibility/2006">
          <mc:Choice Requires="x14">
            <control shapeId="11272" r:id="rId14" name="Check Box 8">
              <controlPr defaultSize="0" autoFill="0" autoLine="0" autoPict="0">
                <anchor moveWithCells="1">
                  <from>
                    <xdr:col>0</xdr:col>
                    <xdr:colOff>101600</xdr:colOff>
                    <xdr:row>15</xdr:row>
                    <xdr:rowOff>177800</xdr:rowOff>
                  </from>
                  <to>
                    <xdr:col>0</xdr:col>
                    <xdr:colOff>939800</xdr:colOff>
                    <xdr:row>17</xdr:row>
                    <xdr:rowOff>25400</xdr:rowOff>
                  </to>
                </anchor>
              </controlPr>
            </control>
          </mc:Choice>
        </mc:AlternateContent>
        <mc:AlternateContent xmlns:mc="http://schemas.openxmlformats.org/markup-compatibility/2006">
          <mc:Choice Requires="x14">
            <control shapeId="11273" r:id="rId15" name="Check Box 9">
              <controlPr defaultSize="0" autoFill="0" autoLine="0" autoPict="0">
                <anchor moveWithCells="1">
                  <from>
                    <xdr:col>0</xdr:col>
                    <xdr:colOff>101600</xdr:colOff>
                    <xdr:row>14</xdr:row>
                    <xdr:rowOff>177800</xdr:rowOff>
                  </from>
                  <to>
                    <xdr:col>0</xdr:col>
                    <xdr:colOff>939800</xdr:colOff>
                    <xdr:row>16</xdr:row>
                    <xdr:rowOff>25400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EE9E80E3487DC44B99E7BC37C8F43DD" ma:contentTypeVersion="19" ma:contentTypeDescription="Creare un nuovo documento." ma:contentTypeScope="" ma:versionID="b2cd7e4fb999fd7407ff369e1775162d">
  <xsd:schema xmlns:xsd="http://www.w3.org/2001/XMLSchema" xmlns:xs="http://www.w3.org/2001/XMLSchema" xmlns:p="http://schemas.microsoft.com/office/2006/metadata/properties" xmlns:ns2="a69f624f-7ef0-4592-924e-3cff8cc1cd2d" xmlns:ns3="a65c86be-96b2-46ad-a92c-5724a6e51691" targetNamespace="http://schemas.microsoft.com/office/2006/metadata/properties" ma:root="true" ma:fieldsID="749189a8510944ccb6e3736b615a2daf" ns2:_="" ns3:_="">
    <xsd:import namespace="a69f624f-7ef0-4592-924e-3cff8cc1cd2d"/>
    <xsd:import namespace="a65c86be-96b2-46ad-a92c-5724a6e5169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69f624f-7ef0-4592-924e-3cff8cc1cd2d" elementFormDefault="qualified">
    <xsd:import namespace="http://schemas.microsoft.com/office/2006/documentManagement/types"/>
    <xsd:import namespace="http://schemas.microsoft.com/office/infopath/2007/PartnerControls"/>
    <xsd:element name="SharedWithUsers" ma:index="8"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ff703f58-214e-410d-888d-177e49ec0908}" ma:internalName="TaxCatchAll" ma:showField="CatchAllData" ma:web="a69f624f-7ef0-4592-924e-3cff8cc1cd2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65c86be-96b2-46ad-a92c-5724a6e51691"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74418078-4753-4af9-9c88-13346d7fb69b"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65c86be-96b2-46ad-a92c-5724a6e51691">
      <Terms xmlns="http://schemas.microsoft.com/office/infopath/2007/PartnerControls"/>
    </lcf76f155ced4ddcb4097134ff3c332f>
    <TaxCatchAll xmlns="a69f624f-7ef0-4592-924e-3cff8cc1cd2d" xsi:nil="true"/>
  </documentManagement>
</p:properties>
</file>

<file path=customXml/itemProps1.xml><?xml version="1.0" encoding="utf-8"?>
<ds:datastoreItem xmlns:ds="http://schemas.openxmlformats.org/officeDocument/2006/customXml" ds:itemID="{F3991FAC-E309-4D67-8B92-E549F238D7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69f624f-7ef0-4592-924e-3cff8cc1cd2d"/>
    <ds:schemaRef ds:uri="a65c86be-96b2-46ad-a92c-5724a6e5169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10DC3E-D76F-4629-BA0F-80ADD1C362CC}">
  <ds:schemaRefs>
    <ds:schemaRef ds:uri="http://schemas.microsoft.com/sharepoint/v3/contenttype/forms"/>
  </ds:schemaRefs>
</ds:datastoreItem>
</file>

<file path=customXml/itemProps3.xml><?xml version="1.0" encoding="utf-8"?>
<ds:datastoreItem xmlns:ds="http://schemas.openxmlformats.org/officeDocument/2006/customXml" ds:itemID="{3DFAA4FB-E626-4BF9-B7A5-2781FADAAF0B}">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ee427181-22a2-4a0a-a478-4b8b1616ee8b"/>
    <ds:schemaRef ds:uri="e759361a-92f4-4fad-85c0-2d0b26232fef"/>
    <ds:schemaRef ds:uri="http://purl.org/dc/terms/"/>
    <ds:schemaRef ds:uri="http://schemas.openxmlformats.org/package/2006/metadata/core-properties"/>
    <ds:schemaRef ds:uri="http://www.w3.org/XML/1998/namespace"/>
    <ds:schemaRef ds:uri="http://purl.org/dc/dcmitype/"/>
    <ds:schemaRef ds:uri="d03872e0-e49a-419e-868a-cc9cbd55d866"/>
    <ds:schemaRef ds:uri="a65c86be-96b2-46ad-a92c-5724a6e51691"/>
    <ds:schemaRef ds:uri="a69f624f-7ef0-4592-924e-3cff8cc1cd2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Liberty costing - DAY BY DAY</vt:lpstr>
      <vt:lpstr>'Liberty costing - DAY BY DAY'!Print_Area</vt:lpstr>
    </vt:vector>
  </TitlesOfParts>
  <Company>First Incentive Travel,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maximilian.wenger-oehn@liberty-int.com</dc:creator>
  <cp:lastModifiedBy>Yash Yadav | Liberty International</cp:lastModifiedBy>
  <cp:lastPrinted>2020-03-12T11:42:14Z</cp:lastPrinted>
  <dcterms:created xsi:type="dcterms:W3CDTF">2006-11-20T16:12:03Z</dcterms:created>
  <dcterms:modified xsi:type="dcterms:W3CDTF">2025-04-24T08:53:38Z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0x0101002EE9E80E3487DC44B99E7BC37C8F43DD</vt:lpwstr>
  </property>
  <property fmtid="{D5CDD505-2E9C-101B-9397-08002B2CF9AE}" pid="3" name="Order">
    <vt:r8>1635900</vt:r8>
  </property>
  <property fmtid="{D5CDD505-2E9C-101B-9397-08002B2CF9AE}" pid="4" name="MediaServiceImageTags">
    <vt:lpwstr/>
  </property>
</Properties>
</file>