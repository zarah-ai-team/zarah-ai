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rys/Desktop/"/>
    </mc:Choice>
  </mc:AlternateContent>
  <xr:revisionPtr revIDLastSave="0" documentId="8_{91458F27-FACB-7149-B230-1EC5AAA6D79A}" xr6:coauthVersionLast="47" xr6:coauthVersionMax="47" xr10:uidLastSave="{00000000-0000-0000-0000-000000000000}"/>
  <bookViews>
    <workbookView xWindow="0" yWindow="0" windowWidth="28800" windowHeight="18000" xr2:uid="{00000000-000D-0000-FFFF-FFFF00000000}"/>
  </bookViews>
  <sheets>
    <sheet name="Liberty costing" sheetId="14" r:id="rId1"/>
  </sheets>
  <definedNames>
    <definedName name="_xlnm.Print_Area" localSheetId="0">'Liberty costing'!$A$1:$G$143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54" i="14" l="1"/>
  <c r="E55" i="14"/>
  <c r="E49" i="14"/>
  <c r="E46" i="14"/>
  <c r="E43" i="14"/>
  <c r="E42" i="14"/>
  <c r="E30" i="14"/>
  <c r="E29" i="14"/>
  <c r="E26" i="14"/>
  <c r="E45" i="14" l="1"/>
  <c r="E37" i="14"/>
  <c r="E36" i="14"/>
  <c r="E25" i="14"/>
  <c r="E24" i="14"/>
  <c r="E58" i="14" s="1"/>
  <c r="E53" i="14"/>
  <c r="E47" i="14"/>
  <c r="E35" i="14"/>
  <c r="E67" i="14"/>
  <c r="E69" i="14" l="1"/>
  <c r="E77" i="14" s="1"/>
  <c r="E75" i="14"/>
  <c r="E79" i="14" l="1"/>
  <c r="E81" i="14" s="1"/>
</calcChain>
</file>

<file path=xl/sharedStrings.xml><?xml version="1.0" encoding="utf-8"?>
<sst xmlns="http://schemas.openxmlformats.org/spreadsheetml/2006/main" count="131" uniqueCount="107">
  <si>
    <t>QUOTATION</t>
  </si>
  <si>
    <t>GROUP NAME:</t>
  </si>
  <si>
    <t>DESTINATION:</t>
  </si>
  <si>
    <t>DATES:</t>
  </si>
  <si>
    <t>PAX / ROOMS:</t>
  </si>
  <si>
    <t>INCOMING CONTACT:</t>
  </si>
  <si>
    <r>
      <rPr>
        <b/>
        <u/>
        <sz val="12"/>
        <rFont val="Century Gothic"/>
        <family val="1"/>
      </rPr>
      <t>PRICING MODEL</t>
    </r>
    <r>
      <rPr>
        <b/>
        <sz val="11"/>
        <rFont val="Century Gothic"/>
        <family val="1"/>
      </rPr>
      <t xml:space="preserve">  </t>
    </r>
  </si>
  <si>
    <r>
      <rPr>
        <b/>
        <sz val="11"/>
        <color rgb="FFFF0000"/>
        <rFont val="Century Gothic"/>
        <family val="1"/>
      </rPr>
      <t>EURO</t>
    </r>
    <r>
      <rPr>
        <b/>
        <sz val="11"/>
        <rFont val="Century Gothic"/>
        <family val="1"/>
      </rPr>
      <t xml:space="preserve">     CURRENCY OF THIS QUOTATION        
</t>
    </r>
    <r>
      <rPr>
        <b/>
        <strike/>
        <sz val="11"/>
        <rFont val="Arial"/>
        <family val="2"/>
      </rPr>
      <t/>
    </r>
  </si>
  <si>
    <r>
      <t xml:space="preserve">                VAT NOT RECLAIMED        
</t>
    </r>
    <r>
      <rPr>
        <b/>
        <strike/>
        <sz val="11"/>
        <rFont val="Arial"/>
        <family val="2"/>
      </rPr>
      <t/>
    </r>
  </si>
  <si>
    <t>NET RATES, inclusive of Taxes, Service Charges and Liberty handling fees.</t>
  </si>
  <si>
    <r>
      <rPr>
        <b/>
        <u/>
        <sz val="12"/>
        <rFont val="Century Gothic"/>
        <family val="1"/>
      </rPr>
      <t>COMMISSION AGREEMENT</t>
    </r>
    <r>
      <rPr>
        <b/>
        <sz val="11"/>
        <rFont val="Century Gothic"/>
        <family val="1"/>
      </rPr>
      <t xml:space="preserve"> </t>
    </r>
  </si>
  <si>
    <r>
      <t xml:space="preserve">             NON COMMISSIONABLE RATES     
</t>
    </r>
    <r>
      <rPr>
        <b/>
        <strike/>
        <sz val="11"/>
        <rFont val="Arial"/>
        <family val="2"/>
      </rPr>
      <t/>
    </r>
  </si>
  <si>
    <r>
      <t xml:space="preserve">             COMMISSIONABLE RATES:               </t>
    </r>
    <r>
      <rPr>
        <sz val="11"/>
        <rFont val="Century Gothic"/>
        <family val="1"/>
      </rPr>
      <t xml:space="preserve">Commissionable at: </t>
    </r>
    <r>
      <rPr>
        <b/>
        <sz val="11"/>
        <rFont val="Century Gothic"/>
        <family val="1"/>
      </rPr>
      <t xml:space="preserve">
</t>
    </r>
    <r>
      <rPr>
        <b/>
        <strike/>
        <sz val="11"/>
        <rFont val="Arial"/>
        <family val="2"/>
      </rPr>
      <t/>
    </r>
  </si>
  <si>
    <t xml:space="preserve">                 only if applicable to all below rates.</t>
  </si>
  <si>
    <t>Units</t>
  </si>
  <si>
    <t>Price per unit</t>
  </si>
  <si>
    <t>Total</t>
  </si>
  <si>
    <t>Remarks</t>
  </si>
  <si>
    <t>SERVICES - DAY BY DAY</t>
  </si>
  <si>
    <t>Days</t>
  </si>
  <si>
    <t>PROGRAM</t>
  </si>
  <si>
    <t>SERVICES - DAY BY DAY
(excluding hotel)</t>
  </si>
  <si>
    <t>Details of service</t>
  </si>
  <si>
    <t>LIBERTY SERVICES</t>
  </si>
  <si>
    <t>AGENCY REMUNERATION</t>
  </si>
  <si>
    <t>Onsite Support</t>
  </si>
  <si>
    <t>Project Manager (daily rate)</t>
  </si>
  <si>
    <t xml:space="preserve">LIBERTY SERVICES </t>
  </si>
  <si>
    <t>COST SUMMARY</t>
  </si>
  <si>
    <t xml:space="preserve">   
   </t>
  </si>
  <si>
    <t>TOTAL</t>
  </si>
  <si>
    <t xml:space="preserve">TOTAL COSTS </t>
  </si>
  <si>
    <t>TOTAL COSTS per person</t>
  </si>
  <si>
    <t>based on pax</t>
  </si>
  <si>
    <t>TERMS &amp; CONDITIONS</t>
  </si>
  <si>
    <r>
      <rPr>
        <sz val="9"/>
        <color rgb="FFFF0000"/>
        <rFont val="Century Gothic"/>
        <family val="1"/>
      </rPr>
      <t>LIBERTY OFFICE NAME</t>
    </r>
    <r>
      <rPr>
        <sz val="9"/>
        <color theme="3" tint="0.39997558519241921"/>
        <rFont val="Century Gothic"/>
        <family val="1"/>
      </rPr>
      <t xml:space="preserve"> </t>
    </r>
    <r>
      <rPr>
        <sz val="9"/>
        <rFont val="Century Gothic"/>
        <family val="1"/>
      </rPr>
      <t xml:space="preserve">is the appointed DMC for this quote on the dates stated above and will be referred to as </t>
    </r>
    <r>
      <rPr>
        <b/>
        <sz val="9"/>
        <rFont val="Century Gothic"/>
        <family val="1"/>
      </rPr>
      <t>“Liberty”</t>
    </r>
    <r>
      <rPr>
        <sz val="9"/>
        <rFont val="Century Gothic"/>
        <family val="1"/>
      </rPr>
      <t xml:space="preserve"> in this agreement.</t>
    </r>
  </si>
  <si>
    <r>
      <t>The</t>
    </r>
    <r>
      <rPr>
        <sz val="9"/>
        <rFont val="Century Gothic"/>
        <family val="2"/>
      </rPr>
      <t xml:space="preserve"> General Terms &amp; Conditions of the Agency L</t>
    </r>
    <r>
      <rPr>
        <sz val="9"/>
        <rFont val="Century Gothic"/>
        <family val="1"/>
      </rPr>
      <t xml:space="preserve">IBERTY INTERNATIONAL TOURISM GROUP and its companies apply. </t>
    </r>
  </si>
  <si>
    <t xml:space="preserve">Those are accessible worldwide via the URL: https://www.liberty-int.com/terms-and-conditions/ </t>
  </si>
  <si>
    <t xml:space="preserve">Direct link to Terms &amp; Conditions for Purchase &amp; Sales Services </t>
  </si>
  <si>
    <t>Link</t>
  </si>
  <si>
    <t xml:space="preserve">Direct link to Terms &amp; Conditions for Procurement Services </t>
  </si>
  <si>
    <t>The General Data Protection Regulation (GDPR) (EU) 2016/679 is a regulation in EU law on data protection and privacy for all individuals within the European Union. We take the GDPR very serious and therefore our Data Processing Addendum is accessible worldwide via this direct link below:</t>
  </si>
  <si>
    <t>Apart from the General Terms &amp; Conditions Liberty and the client accept and agree to the special terms hereunder:</t>
  </si>
  <si>
    <t>CANCELLATION POLICY</t>
  </si>
  <si>
    <t>In case of cancellation by Client according to section 13.2 of the LITG Terms &amp; Conditions, Liberty is entitled to a flat charge for damage compensation (Cancellation) in accordance with sections 13.3 through 13.6 of the LITG Terms &amp; Condition. The parties agree on the following cancellation fees as a percentage of the contractually agreed total compensation:</t>
  </si>
  <si>
    <t>until 90 days prior to event start: TBA</t>
  </si>
  <si>
    <t>until 30 days prior to event start: TBA</t>
  </si>
  <si>
    <t>until 10 days prior to event start: TBA</t>
  </si>
  <si>
    <t>from 10 days prior to event start: TBA</t>
  </si>
  <si>
    <t>Relevant for the calculation of cancellation cost is Liberty's written receipt of the cancellation notice.</t>
  </si>
  <si>
    <r>
      <rPr>
        <b/>
        <u/>
        <sz val="9"/>
        <rFont val="Century Gothic"/>
        <family val="1"/>
      </rPr>
      <t>PAYMENT TERMS</t>
    </r>
    <r>
      <rPr>
        <sz val="9"/>
        <rFont val="Century Gothic"/>
        <family val="1"/>
      </rPr>
      <t xml:space="preserve">
Payments must be received in full in</t>
    </r>
    <r>
      <rPr>
        <sz val="9"/>
        <color rgb="FFFF0000"/>
        <rFont val="Century Gothic"/>
        <family val="1"/>
      </rPr>
      <t xml:space="preserve"> TBA CURRENCY</t>
    </r>
  </si>
  <si>
    <t>For wire transfers: all bank charges, currency conversion, currency exchange control, or other charges incurred in connection with any payment will be the sole responsibility of the client.  </t>
  </si>
  <si>
    <t>Service charges for payments made by Credit Card need to be carried by the client. The exchange of credit card data is the sole liability of the client.</t>
  </si>
  <si>
    <t>Please proceed bank transfers to the following Bank Account:</t>
  </si>
  <si>
    <t xml:space="preserve">Bank Account to be completed </t>
  </si>
  <si>
    <r>
      <t>Deposit/Payment Schedule:</t>
    </r>
    <r>
      <rPr>
        <sz val="9"/>
        <rFont val="Century Gothic"/>
        <family val="1"/>
      </rPr>
      <t xml:space="preserve"> </t>
    </r>
  </si>
  <si>
    <t>TBA%, X months or more prior to arrival</t>
  </si>
  <si>
    <t>TBA%,  X months or more prior to arrival</t>
  </si>
  <si>
    <t>TBA%,  X days at least before arrival</t>
  </si>
  <si>
    <t>APPLICABLE RATES</t>
  </si>
  <si>
    <r>
      <t>All rates are Net (non-commissionable unless otherwise stated) in</t>
    </r>
    <r>
      <rPr>
        <sz val="9"/>
        <color rgb="FFFF0000"/>
        <rFont val="Century Gothic"/>
        <family val="1"/>
      </rPr>
      <t xml:space="preserve"> TBA CURRENCY</t>
    </r>
    <r>
      <rPr>
        <sz val="9"/>
        <rFont val="Century Gothic"/>
        <family val="1"/>
      </rPr>
      <t xml:space="preserve"> including taxes and service charges. Any addition to services will incur charges accordingly. </t>
    </r>
  </si>
  <si>
    <t>All mentioned rates are based upon the number of participants indicated in this quote.</t>
  </si>
  <si>
    <t>If the number of participants increases or decreases we reserve the right to modify rates given.</t>
  </si>
  <si>
    <t xml:space="preserve">Balance of final payment will be settled on the revised budgets, decreased by the deposits already paid by the client immediately after the receipt of the final invoice. </t>
  </si>
  <si>
    <t>Offer subject to availability at the time of confirmation of client.</t>
  </si>
  <si>
    <t>Any extras on site will be billed at net cost + 15% Liberty fee; unless otherwise agreed.</t>
  </si>
  <si>
    <t>In case of any change in fiscal policy or tax applied by the Local Government, Liberty reserves the right to modify rates given.</t>
  </si>
  <si>
    <t>CONFIDENTIALITY NOTE</t>
  </si>
  <si>
    <r>
      <t xml:space="preserve">This information is confidential and the sole property of </t>
    </r>
    <r>
      <rPr>
        <sz val="9"/>
        <color rgb="FFFF0000"/>
        <rFont val="Century Gothic"/>
        <family val="1"/>
      </rPr>
      <t>LIBERTY OFFICE NAME</t>
    </r>
    <r>
      <rPr>
        <sz val="9"/>
        <color rgb="FF92D050"/>
        <rFont val="Century Gothic"/>
        <family val="1"/>
      </rPr>
      <t>.</t>
    </r>
  </si>
  <si>
    <r>
      <t>Any altering or additions without</t>
    </r>
    <r>
      <rPr>
        <sz val="9"/>
        <color rgb="FFFF0000"/>
        <rFont val="Century Gothic"/>
        <family val="1"/>
      </rPr>
      <t xml:space="preserve"> LIBERTY OFFICE NAME</t>
    </r>
    <r>
      <rPr>
        <sz val="9"/>
        <rFont val="Century Gothic"/>
        <family val="1"/>
      </rPr>
      <t>'s consent will make this document invalid.</t>
    </r>
  </si>
  <si>
    <t>JURISDICTION</t>
  </si>
  <si>
    <t>The contractual relationship shall be subject to the laws of the country/ territory where the contracted services are being performed or provided, unless otherwise contractually agreed.</t>
  </si>
  <si>
    <t>DATE</t>
  </si>
  <si>
    <t>CLIENT CONTACT NAME AND TITLE</t>
  </si>
  <si>
    <t>Liberty CONTACT NAME and TITLE</t>
  </si>
  <si>
    <t>Name, Titel</t>
  </si>
  <si>
    <t>Name Title</t>
  </si>
  <si>
    <t>Signature and COMPANY STAMP</t>
  </si>
  <si>
    <t>HiWalk</t>
  </si>
  <si>
    <t>Warsaw</t>
  </si>
  <si>
    <t>1-4.05.2025</t>
  </si>
  <si>
    <t>130 pax</t>
  </si>
  <si>
    <t>Klaudia Dąbroś</t>
  </si>
  <si>
    <t>Day 2 - 02/05/2025</t>
  </si>
  <si>
    <t>Day 1 - 1/05/2025</t>
  </si>
  <si>
    <t>Day 3 - 3/05/2025</t>
  </si>
  <si>
    <t>Day 4 - 4/05/2025</t>
  </si>
  <si>
    <t>Arrival at Warsaw and Clear immigration process</t>
  </si>
  <si>
    <t>Full day disposal of 50-seater coach</t>
  </si>
  <si>
    <t>Full day disposal of English speaking guide</t>
  </si>
  <si>
    <t xml:space="preserve">2 veg + 2 non veg main course, dal, rice, Indian bread, papad, pickles, salad + 2 desserts + drinking water
</t>
  </si>
  <si>
    <t>Transfer to the hotel</t>
  </si>
  <si>
    <t xml:space="preserve">Proceed for city tour &amp; Vistula River Sunset Cruise
</t>
  </si>
  <si>
    <t>English speaking guidde included above</t>
  </si>
  <si>
    <t>Vistula River Sunset Cruise for group up to 130 pax up to 1h</t>
  </si>
  <si>
    <t>Dinner in the indian restaurant</t>
  </si>
  <si>
    <t>Return to the hotel</t>
  </si>
  <si>
    <t>Lunch at the Indian Restaurant (grp will have to be splitted for 3 restaurants)</t>
  </si>
  <si>
    <t>Breakfast at the hotel</t>
  </si>
  <si>
    <t>Half day disposal of 50-seater coahes</t>
  </si>
  <si>
    <t>Half day disposal of English speaking guides</t>
  </si>
  <si>
    <t>Entrance to Polish Vodka Museum with English speaking guide / degustation of polish vodkas includes</t>
  </si>
  <si>
    <t xml:space="preserve">Proceed for entry in Royal Castle, Royal Łazienki Park
</t>
  </si>
  <si>
    <t>Entrance to Royal Castle (Royal Route) with aduiguides</t>
  </si>
  <si>
    <t xml:space="preserve">Entry to Palace of Culture and Science (second tallest building in Poland) - entry to the terrace view
</t>
  </si>
  <si>
    <t xml:space="preserve">Free time at local market for shopping
</t>
  </si>
  <si>
    <t>Transfer to the airport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</si>
</sst>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00_);_(\$* \(#,##0.00\);_(\$* \-??_);_(@_)"/>
    <numFmt numFmtId="165" formatCode="_(* #,##0.00_);_(* \(#,##0.00\);_(* \-??_);_(@_)"/>
    <numFmt numFmtId="166" formatCode="_-* #,##0.00\ [$€-407]_-;\-* #,##0.00\ [$€-407]_-;_-* &quot;-&quot;??\ [$€-407]_-;_-@_-"/>
    <numFmt numFmtId="167" formatCode="#,##0.00_ ;\-#,##0.00\ "/>
  </numFmts>
  <fonts count="46" x14ac:knownFonts="1">
    <font>
      <sz val="10"/>
      <name val="Arial"/>
    </font>
    <font>
      <sz val="10"/>
      <name val="Arial"/>
      <family val="2"/>
    </font>
    <font>
      <sz val="10"/>
      <name val="Verdana"/>
      <family val="2"/>
    </font>
    <font>
      <sz val="10"/>
      <name val="Arial"/>
      <family val="2"/>
    </font>
    <font>
      <sz val="10"/>
      <name val="Mangal"/>
      <family val="2"/>
    </font>
    <font>
      <b/>
      <strike/>
      <sz val="11"/>
      <name val="Arial"/>
      <family val="2"/>
    </font>
    <font>
      <u/>
      <sz val="10"/>
      <color theme="10"/>
      <name val="Arial"/>
      <family val="2"/>
    </font>
    <font>
      <sz val="11"/>
      <name val="Century Gothic"/>
      <family val="1"/>
    </font>
    <font>
      <sz val="10"/>
      <name val="Century Gothic"/>
      <family val="1"/>
    </font>
    <font>
      <b/>
      <sz val="11"/>
      <name val="Century Gothic"/>
      <family val="1"/>
    </font>
    <font>
      <b/>
      <sz val="18"/>
      <color theme="1"/>
      <name val="Century Gothic"/>
      <family val="1"/>
    </font>
    <font>
      <b/>
      <sz val="11"/>
      <color rgb="FF92D050"/>
      <name val="Century Gothic"/>
      <family val="1"/>
    </font>
    <font>
      <b/>
      <sz val="12"/>
      <name val="Century Gothic"/>
      <family val="1"/>
    </font>
    <font>
      <sz val="12"/>
      <color rgb="FFFF0000"/>
      <name val="Century Gothic"/>
      <family val="1"/>
    </font>
    <font>
      <sz val="12"/>
      <color rgb="FF92D050"/>
      <name val="Century Gothic"/>
      <family val="1"/>
    </font>
    <font>
      <sz val="12"/>
      <name val="Century Gothic"/>
      <family val="1"/>
    </font>
    <font>
      <b/>
      <u/>
      <sz val="12"/>
      <name val="Century Gothic"/>
      <family val="1"/>
    </font>
    <font>
      <sz val="11"/>
      <color rgb="FFFF0000"/>
      <name val="Century Gothic"/>
      <family val="1"/>
    </font>
    <font>
      <b/>
      <sz val="11"/>
      <color rgb="FFFF0000"/>
      <name val="Century Gothic"/>
      <family val="1"/>
    </font>
    <font>
      <sz val="10"/>
      <color rgb="FFFF0000"/>
      <name val="Century Gothic"/>
      <family val="1"/>
    </font>
    <font>
      <sz val="10"/>
      <color rgb="FF92D050"/>
      <name val="Century Gothic"/>
      <family val="1"/>
    </font>
    <font>
      <sz val="11"/>
      <color rgb="FF92D050"/>
      <name val="Century Gothic"/>
      <family val="1"/>
    </font>
    <font>
      <sz val="11"/>
      <color rgb="FF0070C0"/>
      <name val="Century Gothic"/>
      <family val="1"/>
    </font>
    <font>
      <b/>
      <sz val="11"/>
      <color rgb="FF0070C0"/>
      <name val="Century Gothic"/>
      <family val="1"/>
    </font>
    <font>
      <sz val="10"/>
      <color rgb="FF0070C0"/>
      <name val="Century Gothic"/>
      <family val="1"/>
    </font>
    <font>
      <b/>
      <sz val="11"/>
      <color theme="0"/>
      <name val="Century Gothic"/>
      <family val="1"/>
    </font>
    <font>
      <sz val="11"/>
      <color theme="0"/>
      <name val="Century Gothic"/>
      <family val="1"/>
    </font>
    <font>
      <b/>
      <sz val="11"/>
      <color theme="1"/>
      <name val="Century Gothic"/>
      <family val="1"/>
    </font>
    <font>
      <i/>
      <sz val="11"/>
      <name val="Century Gothic"/>
      <family val="1"/>
    </font>
    <font>
      <sz val="9"/>
      <name val="Century Gothic"/>
      <family val="1"/>
    </font>
    <font>
      <sz val="9"/>
      <color rgb="FF92D050"/>
      <name val="Century Gothic"/>
      <family val="1"/>
    </font>
    <font>
      <sz val="9"/>
      <color rgb="FF0070C0"/>
      <name val="Century Gothic"/>
      <family val="1"/>
    </font>
    <font>
      <sz val="9"/>
      <color rgb="FFFF0000"/>
      <name val="Century Gothic"/>
      <family val="1"/>
    </font>
    <font>
      <sz val="9"/>
      <color theme="3" tint="0.39997558519241921"/>
      <name val="Century Gothic"/>
      <family val="1"/>
    </font>
    <font>
      <b/>
      <sz val="9"/>
      <name val="Century Gothic"/>
      <family val="1"/>
    </font>
    <font>
      <sz val="10"/>
      <color theme="10"/>
      <name val="Century Gothic"/>
      <family val="1"/>
    </font>
    <font>
      <sz val="9"/>
      <color theme="1"/>
      <name val="Century Gothic"/>
      <family val="1"/>
    </font>
    <font>
      <u/>
      <sz val="10"/>
      <color theme="10"/>
      <name val="Century Gothic"/>
      <family val="1"/>
    </font>
    <font>
      <b/>
      <u/>
      <sz val="9"/>
      <name val="Century Gothic"/>
      <family val="1"/>
    </font>
    <font>
      <i/>
      <sz val="9"/>
      <color rgb="FF0070C0"/>
      <name val="Century Gothic"/>
      <family val="1"/>
    </font>
    <font>
      <i/>
      <sz val="9"/>
      <name val="Century Gothic"/>
      <family val="1"/>
    </font>
    <font>
      <i/>
      <sz val="9"/>
      <color rgb="FFDE0000"/>
      <name val="Century Gothic"/>
      <family val="1"/>
    </font>
    <font>
      <b/>
      <i/>
      <sz val="9"/>
      <color rgb="FFDE0000"/>
      <name val="Century Gothic"/>
      <family val="1"/>
    </font>
    <font>
      <b/>
      <sz val="9"/>
      <color rgb="FF92D050"/>
      <name val="Century Gothic"/>
      <family val="1"/>
    </font>
    <font>
      <sz val="9"/>
      <name val="Century Gothic"/>
      <family val="2"/>
    </font>
    <font>
      <sz val="8"/>
      <color rgb="FF000000"/>
      <name val="Segoe UI"/>
      <charset val="1"/>
    </font>
  </fonts>
  <fills count="5">
    <fill>
      <patternFill patternType="none"/>
    </fill>
    <fill>
      <patternFill patternType="gray125"/>
    </fill>
    <fill>
      <patternFill patternType="solid">
        <fgColor rgb="FFFFF59B"/>
        <bgColor indexed="64"/>
      </patternFill>
    </fill>
    <fill>
      <patternFill patternType="solid">
        <fgColor rgb="FF575656"/>
        <bgColor indexed="64"/>
      </patternFill>
    </fill>
    <fill>
      <patternFill patternType="solid">
        <fgColor theme="0" tint="-0.249977111117893"/>
        <bgColor indexed="64"/>
      </patternFill>
    </fill>
  </fills>
  <borders count="16">
    <border>
      <left/>
      <right/>
      <top/>
      <bottom/>
      <diagonal/>
    </border>
    <border>
      <left/>
      <right/>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s>
  <cellStyleXfs count="15">
    <xf numFmtId="0" fontId="0" fillId="0" borderId="0"/>
    <xf numFmtId="44" fontId="1"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0" fontId="1" fillId="0" borderId="0"/>
    <xf numFmtId="0" fontId="2" fillId="0" borderId="0"/>
    <xf numFmtId="44" fontId="1" fillId="0" borderId="0" applyFont="0" applyFill="0" applyBorder="0" applyAlignment="0" applyProtection="0"/>
    <xf numFmtId="0" fontId="1" fillId="0" borderId="0"/>
    <xf numFmtId="44" fontId="1" fillId="0" borderId="0" applyFont="0" applyFill="0" applyBorder="0" applyAlignment="0" applyProtection="0"/>
    <xf numFmtId="0" fontId="2" fillId="0" borderId="0"/>
    <xf numFmtId="0" fontId="2" fillId="0" borderId="0"/>
    <xf numFmtId="0" fontId="2" fillId="0" borderId="0"/>
    <xf numFmtId="164" fontId="4" fillId="0" borderId="0" applyFill="0" applyBorder="0" applyAlignment="0" applyProtection="0"/>
    <xf numFmtId="164" fontId="4" fillId="0" borderId="0" applyFill="0" applyBorder="0" applyAlignment="0" applyProtection="0"/>
    <xf numFmtId="0" fontId="6" fillId="0" borderId="0" applyNumberFormat="0" applyFill="0" applyBorder="0" applyAlignment="0" applyProtection="0"/>
  </cellStyleXfs>
  <cellXfs count="194">
    <xf numFmtId="0" fontId="0" fillId="0" borderId="0" xfId="0"/>
    <xf numFmtId="0" fontId="8" fillId="0" borderId="0" xfId="0" applyFont="1"/>
    <xf numFmtId="0" fontId="7" fillId="0" borderId="0" xfId="0" applyFont="1"/>
    <xf numFmtId="0" fontId="7" fillId="0" borderId="0" xfId="0" applyFont="1" applyAlignment="1">
      <alignment horizontal="center"/>
    </xf>
    <xf numFmtId="0" fontId="7" fillId="0" borderId="0" xfId="1" applyNumberFormat="1" applyFont="1" applyFill="1" applyAlignment="1">
      <alignment horizontal="center" vertical="center"/>
    </xf>
    <xf numFmtId="0" fontId="7" fillId="0" borderId="0" xfId="1" applyNumberFormat="1" applyFont="1" applyAlignment="1">
      <alignment horizontal="center" vertical="center"/>
    </xf>
    <xf numFmtId="0" fontId="11" fillId="0" borderId="0" xfId="0" applyFont="1" applyAlignment="1">
      <alignment vertical="center"/>
    </xf>
    <xf numFmtId="0" fontId="12" fillId="0" borderId="2" xfId="7" applyFont="1" applyBorder="1" applyAlignment="1" applyProtection="1">
      <alignment vertical="center" wrapText="1"/>
      <protection locked="0"/>
    </xf>
    <xf numFmtId="0" fontId="14" fillId="0" borderId="0" xfId="7" applyFont="1" applyAlignment="1" applyProtection="1">
      <alignment vertical="center"/>
      <protection locked="0"/>
    </xf>
    <xf numFmtId="0" fontId="14" fillId="0" borderId="0" xfId="7" applyFont="1" applyAlignment="1" applyProtection="1">
      <alignment vertical="center" wrapText="1"/>
      <protection locked="0"/>
    </xf>
    <xf numFmtId="0" fontId="13" fillId="0" borderId="0" xfId="7" applyFont="1" applyAlignment="1" applyProtection="1">
      <alignment vertical="center" wrapText="1"/>
      <protection locked="0"/>
    </xf>
    <xf numFmtId="0" fontId="13" fillId="0" borderId="3" xfId="7" applyFont="1" applyBorder="1" applyAlignment="1" applyProtection="1">
      <alignment vertical="center" wrapText="1"/>
      <protection locked="0"/>
    </xf>
    <xf numFmtId="0" fontId="15" fillId="0" borderId="0" xfId="7" applyFont="1" applyAlignment="1" applyProtection="1">
      <alignment vertical="center" wrapText="1"/>
      <protection locked="0"/>
    </xf>
    <xf numFmtId="0" fontId="9" fillId="0" borderId="2" xfId="7" applyFont="1" applyBorder="1" applyAlignment="1" applyProtection="1">
      <alignment vertical="center" wrapText="1"/>
      <protection locked="0"/>
    </xf>
    <xf numFmtId="0" fontId="17" fillId="0" borderId="0" xfId="0" applyFont="1" applyAlignment="1">
      <alignment vertical="center" wrapText="1"/>
    </xf>
    <xf numFmtId="0" fontId="17" fillId="0" borderId="3" xfId="0" applyFont="1" applyBorder="1" applyAlignment="1">
      <alignment vertical="center" wrapText="1"/>
    </xf>
    <xf numFmtId="0" fontId="7" fillId="0" borderId="0" xfId="0" applyFont="1" applyAlignment="1">
      <alignment vertical="center" wrapText="1"/>
    </xf>
    <xf numFmtId="0" fontId="9" fillId="0" borderId="2" xfId="0" applyFont="1" applyBorder="1" applyAlignment="1">
      <alignment vertical="top" wrapText="1"/>
    </xf>
    <xf numFmtId="0" fontId="19" fillId="0" borderId="0" xfId="0" applyFont="1"/>
    <xf numFmtId="0" fontId="20" fillId="0" borderId="0" xfId="0" applyFont="1"/>
    <xf numFmtId="0" fontId="17" fillId="0" borderId="0" xfId="0" applyFont="1" applyAlignment="1">
      <alignment horizontal="left" vertical="top"/>
    </xf>
    <xf numFmtId="0" fontId="18" fillId="0" borderId="0" xfId="0" applyFont="1" applyAlignment="1">
      <alignment vertical="top" wrapText="1"/>
    </xf>
    <xf numFmtId="0" fontId="18" fillId="0" borderId="3" xfId="0" applyFont="1" applyBorder="1" applyAlignment="1">
      <alignment vertical="top" wrapText="1"/>
    </xf>
    <xf numFmtId="0" fontId="9" fillId="0" borderId="0" xfId="0" applyFont="1" applyAlignment="1">
      <alignment vertical="top" wrapText="1"/>
    </xf>
    <xf numFmtId="0" fontId="21" fillId="0" borderId="0" xfId="0" applyFont="1" applyAlignment="1">
      <alignment vertical="top"/>
    </xf>
    <xf numFmtId="0" fontId="9" fillId="0" borderId="3" xfId="0" applyFont="1" applyBorder="1" applyAlignment="1">
      <alignment vertical="top" wrapText="1"/>
    </xf>
    <xf numFmtId="0" fontId="7" fillId="0" borderId="0" xfId="0" applyFont="1" applyAlignment="1">
      <alignment vertical="top"/>
    </xf>
    <xf numFmtId="0" fontId="22" fillId="0" borderId="0" xfId="0" applyFont="1" applyAlignment="1">
      <alignment vertical="top"/>
    </xf>
    <xf numFmtId="0" fontId="23" fillId="0" borderId="4" xfId="0" applyFont="1" applyBorder="1" applyAlignment="1">
      <alignment vertical="top" wrapText="1"/>
    </xf>
    <xf numFmtId="0" fontId="23" fillId="0" borderId="1" xfId="0" applyFont="1" applyBorder="1" applyAlignment="1">
      <alignment vertical="top" wrapText="1"/>
    </xf>
    <xf numFmtId="0" fontId="23" fillId="0" borderId="5" xfId="0" applyFont="1" applyBorder="1" applyAlignment="1">
      <alignment vertical="top" wrapText="1"/>
    </xf>
    <xf numFmtId="0" fontId="23" fillId="0" borderId="0" xfId="0" applyFont="1" applyAlignment="1">
      <alignment vertical="top" wrapText="1"/>
    </xf>
    <xf numFmtId="0" fontId="24" fillId="0" borderId="0" xfId="0" applyFont="1"/>
    <xf numFmtId="0" fontId="9" fillId="2" borderId="6" xfId="0" applyFont="1" applyFill="1" applyBorder="1" applyAlignment="1">
      <alignment horizontal="center" vertical="center"/>
    </xf>
    <xf numFmtId="0" fontId="9" fillId="2" borderId="6" xfId="1" applyNumberFormat="1" applyFont="1" applyFill="1" applyBorder="1" applyAlignment="1">
      <alignment horizontal="center" vertical="center"/>
    </xf>
    <xf numFmtId="0" fontId="9" fillId="2" borderId="6" xfId="0" applyFont="1" applyFill="1" applyBorder="1" applyAlignment="1">
      <alignment horizontal="center" vertical="center" wrapText="1"/>
    </xf>
    <xf numFmtId="167" fontId="7" fillId="0" borderId="6" xfId="1" applyNumberFormat="1" applyFont="1" applyFill="1" applyBorder="1" applyAlignment="1"/>
    <xf numFmtId="43" fontId="9" fillId="2" borderId="6" xfId="0" applyNumberFormat="1" applyFont="1" applyFill="1" applyBorder="1" applyAlignment="1">
      <alignment horizontal="center" vertical="center"/>
    </xf>
    <xf numFmtId="165" fontId="7" fillId="0" borderId="6" xfId="0" applyNumberFormat="1" applyFont="1" applyBorder="1"/>
    <xf numFmtId="0" fontId="7" fillId="0" borderId="6" xfId="8" applyNumberFormat="1" applyFont="1" applyBorder="1" applyAlignment="1">
      <alignment horizontal="center"/>
    </xf>
    <xf numFmtId="0" fontId="7" fillId="0" borderId="6" xfId="1" applyNumberFormat="1" applyFont="1" applyBorder="1" applyAlignment="1">
      <alignment horizontal="center" vertical="center"/>
    </xf>
    <xf numFmtId="166" fontId="7" fillId="0" borderId="6" xfId="0" applyNumberFormat="1" applyFont="1" applyBorder="1"/>
    <xf numFmtId="0" fontId="7" fillId="0" borderId="6" xfId="1" applyNumberFormat="1" applyFont="1" applyBorder="1" applyAlignment="1">
      <alignment horizontal="center"/>
    </xf>
    <xf numFmtId="44" fontId="7" fillId="0" borderId="6" xfId="8" applyFont="1" applyFill="1" applyBorder="1" applyAlignment="1" applyProtection="1"/>
    <xf numFmtId="43" fontId="7" fillId="0" borderId="13" xfId="0" applyNumberFormat="1" applyFont="1" applyBorder="1"/>
    <xf numFmtId="43" fontId="7" fillId="0" borderId="13" xfId="0" applyNumberFormat="1" applyFont="1" applyBorder="1" applyAlignment="1">
      <alignment horizontal="center"/>
    </xf>
    <xf numFmtId="167" fontId="7" fillId="0" borderId="13" xfId="1" applyNumberFormat="1" applyFont="1" applyFill="1" applyBorder="1" applyAlignment="1"/>
    <xf numFmtId="166" fontId="7" fillId="0" borderId="13" xfId="0" applyNumberFormat="1" applyFont="1" applyBorder="1"/>
    <xf numFmtId="0" fontId="25" fillId="3" borderId="10" xfId="0" applyFont="1" applyFill="1" applyBorder="1" applyAlignment="1">
      <alignment vertical="center"/>
    </xf>
    <xf numFmtId="0" fontId="26" fillId="3" borderId="11" xfId="0" applyFont="1" applyFill="1" applyBorder="1" applyAlignment="1">
      <alignment vertical="center"/>
    </xf>
    <xf numFmtId="0" fontId="26" fillId="3" borderId="12" xfId="0" applyFont="1" applyFill="1" applyBorder="1" applyAlignment="1">
      <alignment vertical="center"/>
    </xf>
    <xf numFmtId="43" fontId="9" fillId="2" borderId="8" xfId="0" applyNumberFormat="1" applyFont="1" applyFill="1" applyBorder="1" applyAlignment="1">
      <alignment vertical="center" wrapText="1"/>
    </xf>
    <xf numFmtId="43" fontId="9" fillId="2" borderId="9" xfId="0" applyNumberFormat="1" applyFont="1" applyFill="1" applyBorder="1" applyAlignment="1">
      <alignment vertical="center" wrapText="1"/>
    </xf>
    <xf numFmtId="43" fontId="9" fillId="2" borderId="1" xfId="0" applyNumberFormat="1" applyFont="1" applyFill="1" applyBorder="1" applyAlignment="1">
      <alignment vertical="center" wrapText="1"/>
    </xf>
    <xf numFmtId="43" fontId="9" fillId="2" borderId="5" xfId="0" applyNumberFormat="1" applyFont="1" applyFill="1" applyBorder="1" applyAlignment="1">
      <alignment vertical="center" wrapText="1"/>
    </xf>
    <xf numFmtId="43" fontId="9" fillId="0" borderId="0" xfId="0" applyNumberFormat="1" applyFont="1" applyAlignment="1">
      <alignment horizontal="left" vertical="center" wrapText="1"/>
    </xf>
    <xf numFmtId="43" fontId="9" fillId="0" borderId="0" xfId="0" applyNumberFormat="1" applyFont="1" applyAlignment="1">
      <alignment vertical="center" wrapText="1"/>
    </xf>
    <xf numFmtId="166" fontId="9" fillId="0" borderId="0" xfId="0" applyNumberFormat="1" applyFont="1" applyAlignment="1">
      <alignment horizontal="center" vertical="center" wrapText="1"/>
    </xf>
    <xf numFmtId="43" fontId="25" fillId="0" borderId="0" xfId="0" applyNumberFormat="1" applyFont="1" applyAlignment="1">
      <alignment horizontal="left" vertical="center" wrapText="1"/>
    </xf>
    <xf numFmtId="0" fontId="26" fillId="0" borderId="0" xfId="8" applyNumberFormat="1" applyFont="1" applyFill="1" applyBorder="1" applyAlignment="1">
      <alignment horizontal="center" vertical="center" wrapText="1"/>
    </xf>
    <xf numFmtId="0" fontId="25" fillId="0" borderId="0" xfId="1" applyNumberFormat="1" applyFont="1" applyFill="1" applyBorder="1" applyAlignment="1">
      <alignment horizontal="center" vertical="center" wrapText="1"/>
    </xf>
    <xf numFmtId="44" fontId="26" fillId="0" borderId="0" xfId="8" applyFont="1" applyFill="1" applyBorder="1" applyAlignment="1">
      <alignment horizontal="left" vertical="center" wrapText="1"/>
    </xf>
    <xf numFmtId="166" fontId="25" fillId="0" borderId="0" xfId="8" applyNumberFormat="1" applyFont="1" applyFill="1" applyBorder="1" applyAlignment="1">
      <alignment horizontal="center" vertical="center" wrapText="1"/>
    </xf>
    <xf numFmtId="44" fontId="25" fillId="0" borderId="0" xfId="0" applyNumberFormat="1" applyFont="1" applyAlignment="1">
      <alignment horizontal="left" vertical="center" wrapText="1"/>
    </xf>
    <xf numFmtId="43" fontId="7" fillId="4" borderId="10" xfId="0" applyNumberFormat="1" applyFont="1" applyFill="1" applyBorder="1"/>
    <xf numFmtId="43" fontId="7" fillId="4" borderId="11" xfId="0" applyNumberFormat="1" applyFont="1" applyFill="1" applyBorder="1"/>
    <xf numFmtId="2" fontId="7" fillId="4" borderId="11" xfId="0" applyNumberFormat="1" applyFont="1" applyFill="1" applyBorder="1"/>
    <xf numFmtId="43" fontId="7" fillId="4" borderId="12" xfId="0" applyNumberFormat="1" applyFont="1" applyFill="1" applyBorder="1"/>
    <xf numFmtId="43" fontId="25" fillId="3" borderId="10" xfId="0" applyNumberFormat="1" applyFont="1" applyFill="1" applyBorder="1"/>
    <xf numFmtId="43" fontId="25" fillId="3" borderId="11" xfId="0" applyNumberFormat="1" applyFont="1" applyFill="1" applyBorder="1"/>
    <xf numFmtId="2" fontId="25" fillId="3" borderId="11" xfId="0" applyNumberFormat="1" applyFont="1" applyFill="1" applyBorder="1"/>
    <xf numFmtId="43" fontId="25" fillId="3" borderId="12" xfId="0" applyNumberFormat="1" applyFont="1" applyFill="1" applyBorder="1"/>
    <xf numFmtId="2" fontId="7" fillId="0" borderId="6" xfId="1" applyNumberFormat="1" applyFont="1" applyBorder="1" applyAlignment="1"/>
    <xf numFmtId="0" fontId="7" fillId="0" borderId="0" xfId="8" applyNumberFormat="1" applyFont="1" applyFill="1" applyBorder="1" applyAlignment="1">
      <alignment horizontal="center" vertical="center" wrapText="1"/>
    </xf>
    <xf numFmtId="0" fontId="9" fillId="0" borderId="0" xfId="1" applyNumberFormat="1" applyFont="1" applyFill="1" applyBorder="1" applyAlignment="1">
      <alignment horizontal="center" vertical="center" wrapText="1"/>
    </xf>
    <xf numFmtId="44" fontId="7" fillId="0" borderId="0" xfId="8" applyFont="1" applyFill="1" applyBorder="1" applyAlignment="1">
      <alignment horizontal="left" vertical="center" wrapText="1"/>
    </xf>
    <xf numFmtId="166" fontId="9" fillId="0" borderId="0" xfId="8" applyNumberFormat="1" applyFont="1" applyFill="1" applyBorder="1" applyAlignment="1">
      <alignment horizontal="center" vertical="center" wrapText="1"/>
    </xf>
    <xf numFmtId="44" fontId="9" fillId="0" borderId="0" xfId="0" applyNumberFormat="1" applyFont="1" applyAlignment="1">
      <alignment horizontal="left" vertical="center" wrapText="1"/>
    </xf>
    <xf numFmtId="43" fontId="9" fillId="2" borderId="10" xfId="0" applyNumberFormat="1" applyFont="1" applyFill="1" applyBorder="1" applyAlignment="1">
      <alignment horizontal="center" vertical="center" wrapText="1"/>
    </xf>
    <xf numFmtId="0" fontId="9" fillId="2" borderId="11" xfId="0" applyFont="1" applyFill="1" applyBorder="1" applyAlignment="1">
      <alignment horizontal="center" vertical="center"/>
    </xf>
    <xf numFmtId="0" fontId="9" fillId="2" borderId="11" xfId="1" applyNumberFormat="1" applyFont="1" applyFill="1" applyBorder="1" applyAlignment="1">
      <alignment horizontal="center" vertical="center"/>
    </xf>
    <xf numFmtId="0" fontId="9" fillId="2" borderId="11" xfId="0" applyFont="1" applyFill="1" applyBorder="1" applyAlignment="1">
      <alignment horizontal="center" vertical="center" wrapText="1"/>
    </xf>
    <xf numFmtId="0" fontId="9" fillId="2" borderId="11" xfId="0" applyFont="1" applyFill="1" applyBorder="1" applyAlignment="1">
      <alignment horizontal="right" vertical="center" wrapText="1"/>
    </xf>
    <xf numFmtId="0" fontId="9" fillId="2" borderId="12" xfId="0" applyFont="1" applyFill="1" applyBorder="1" applyAlignment="1">
      <alignment horizontal="center" vertical="center"/>
    </xf>
    <xf numFmtId="0" fontId="28" fillId="4" borderId="1" xfId="8" applyNumberFormat="1" applyFont="1" applyFill="1" applyBorder="1" applyAlignment="1">
      <alignment horizontal="center"/>
    </xf>
    <xf numFmtId="0" fontId="7" fillId="4" borderId="1" xfId="1" applyNumberFormat="1" applyFont="1" applyFill="1" applyBorder="1" applyAlignment="1">
      <alignment horizontal="center" vertical="center"/>
    </xf>
    <xf numFmtId="44" fontId="28" fillId="4" borderId="1" xfId="8" applyFont="1" applyFill="1" applyBorder="1"/>
    <xf numFmtId="44" fontId="7" fillId="4" borderId="5" xfId="8" applyFont="1" applyFill="1" applyBorder="1"/>
    <xf numFmtId="0" fontId="7" fillId="4" borderId="8" xfId="8" applyNumberFormat="1" applyFont="1" applyFill="1" applyBorder="1" applyAlignment="1">
      <alignment horizontal="center" vertical="center" wrapText="1"/>
    </xf>
    <xf numFmtId="0" fontId="9" fillId="4" borderId="8" xfId="1" applyNumberFormat="1" applyFont="1" applyFill="1" applyBorder="1" applyAlignment="1">
      <alignment horizontal="center" vertical="center" wrapText="1"/>
    </xf>
    <xf numFmtId="44" fontId="7" fillId="4" borderId="8" xfId="8" applyFont="1" applyFill="1" applyBorder="1" applyAlignment="1">
      <alignment horizontal="left" vertical="center" wrapText="1"/>
    </xf>
    <xf numFmtId="44" fontId="9" fillId="4" borderId="9" xfId="0" applyNumberFormat="1" applyFont="1" applyFill="1" applyBorder="1" applyAlignment="1">
      <alignment horizontal="left" vertical="center" wrapText="1"/>
    </xf>
    <xf numFmtId="0" fontId="7" fillId="2" borderId="8" xfId="8" applyNumberFormat="1" applyFont="1" applyFill="1" applyBorder="1" applyAlignment="1">
      <alignment horizontal="center" vertical="center" wrapText="1"/>
    </xf>
    <xf numFmtId="0" fontId="9" fillId="2" borderId="8" xfId="1" applyNumberFormat="1" applyFont="1" applyFill="1" applyBorder="1" applyAlignment="1">
      <alignment horizontal="center" vertical="center" wrapText="1"/>
    </xf>
    <xf numFmtId="44" fontId="7" fillId="2" borderId="8" xfId="8" applyFont="1" applyFill="1" applyBorder="1" applyAlignment="1">
      <alignment horizontal="left" vertical="center" wrapText="1"/>
    </xf>
    <xf numFmtId="44" fontId="9" fillId="2" borderId="9" xfId="0" applyNumberFormat="1" applyFont="1" applyFill="1" applyBorder="1" applyAlignment="1">
      <alignment horizontal="left" vertical="center" wrapText="1"/>
    </xf>
    <xf numFmtId="0" fontId="28" fillId="2" borderId="1" xfId="8" applyNumberFormat="1" applyFont="1" applyFill="1" applyBorder="1" applyAlignment="1">
      <alignment horizontal="center"/>
    </xf>
    <xf numFmtId="0" fontId="7" fillId="2" borderId="1" xfId="1" applyNumberFormat="1" applyFont="1" applyFill="1" applyBorder="1" applyAlignment="1">
      <alignment horizontal="center" vertical="center"/>
    </xf>
    <xf numFmtId="44" fontId="28" fillId="2" borderId="1" xfId="8" applyFont="1" applyFill="1" applyBorder="1"/>
    <xf numFmtId="44" fontId="7" fillId="2" borderId="5" xfId="8" applyFont="1" applyFill="1" applyBorder="1"/>
    <xf numFmtId="44" fontId="9" fillId="0" borderId="9" xfId="0" applyNumberFormat="1" applyFont="1" applyBorder="1" applyAlignment="1">
      <alignment horizontal="left" vertical="center" wrapText="1"/>
    </xf>
    <xf numFmtId="44" fontId="7" fillId="0" borderId="5" xfId="8" applyFont="1" applyFill="1" applyBorder="1"/>
    <xf numFmtId="0" fontId="29" fillId="0" borderId="0" xfId="0" applyFont="1" applyAlignment="1">
      <alignment vertical="top" wrapText="1"/>
    </xf>
    <xf numFmtId="0" fontId="30" fillId="0" borderId="0" xfId="0" applyFont="1" applyAlignment="1">
      <alignment vertical="top" wrapText="1"/>
    </xf>
    <xf numFmtId="0" fontId="29" fillId="0" borderId="0" xfId="0" applyFont="1" applyAlignment="1">
      <alignment horizontal="left" vertical="top"/>
    </xf>
    <xf numFmtId="0" fontId="29" fillId="0" borderId="0" xfId="0" applyFont="1" applyAlignment="1">
      <alignment horizontal="center" vertical="top"/>
    </xf>
    <xf numFmtId="0" fontId="32" fillId="0" borderId="0" xfId="0" applyFont="1" applyAlignment="1">
      <alignment vertical="top" wrapText="1"/>
    </xf>
    <xf numFmtId="0" fontId="32" fillId="0" borderId="0" xfId="0" applyFont="1" applyAlignment="1">
      <alignment horizontal="left" vertical="top"/>
    </xf>
    <xf numFmtId="0" fontId="35" fillId="0" borderId="0" xfId="14" applyFont="1" applyBorder="1" applyAlignment="1">
      <alignment horizontal="left" vertical="top" wrapText="1"/>
    </xf>
    <xf numFmtId="0" fontId="37" fillId="0" borderId="0" xfId="14" applyFont="1" applyBorder="1" applyAlignment="1">
      <alignment horizontal="left" vertical="top" wrapText="1"/>
    </xf>
    <xf numFmtId="0" fontId="29" fillId="0" borderId="0" xfId="0" applyFont="1" applyAlignment="1">
      <alignment horizontal="justify" vertical="top" wrapText="1"/>
    </xf>
    <xf numFmtId="0" fontId="32" fillId="0" borderId="0" xfId="0" applyFont="1" applyAlignment="1">
      <alignment horizontal="justify" vertical="top" wrapText="1"/>
    </xf>
    <xf numFmtId="0" fontId="40" fillId="0" borderId="0" xfId="0" applyFont="1" applyAlignment="1">
      <alignment horizontal="justify" vertical="top" wrapText="1"/>
    </xf>
    <xf numFmtId="0" fontId="29" fillId="0" borderId="0" xfId="0" applyFont="1" applyAlignment="1">
      <alignment vertical="top"/>
    </xf>
    <xf numFmtId="0" fontId="41" fillId="0" borderId="0" xfId="0" applyFont="1"/>
    <xf numFmtId="0" fontId="29" fillId="0" borderId="0" xfId="1" applyNumberFormat="1" applyFont="1" applyAlignment="1">
      <alignment horizontal="center" vertical="center"/>
    </xf>
    <xf numFmtId="0" fontId="29" fillId="0" borderId="0" xfId="0" applyFont="1"/>
    <xf numFmtId="0" fontId="38" fillId="0" borderId="0" xfId="0" applyFont="1"/>
    <xf numFmtId="0" fontId="29" fillId="0" borderId="0" xfId="0" applyFont="1" applyAlignment="1">
      <alignment horizontal="center"/>
    </xf>
    <xf numFmtId="0" fontId="29" fillId="0" borderId="0" xfId="1" applyNumberFormat="1" applyFont="1" applyBorder="1" applyAlignment="1">
      <alignment horizontal="center" vertical="center"/>
    </xf>
    <xf numFmtId="0" fontId="30" fillId="0" borderId="0" xfId="0" applyFont="1"/>
    <xf numFmtId="0" fontId="42" fillId="0" borderId="0" xfId="0" applyFont="1"/>
    <xf numFmtId="0" fontId="34" fillId="0" borderId="0" xfId="0" applyFont="1" applyAlignment="1">
      <alignment horizontal="justify" vertical="top" wrapText="1"/>
    </xf>
    <xf numFmtId="0" fontId="34" fillId="0" borderId="0" xfId="0" applyFont="1" applyAlignment="1">
      <alignment vertical="top" wrapText="1"/>
    </xf>
    <xf numFmtId="0" fontId="43" fillId="0" borderId="0" xfId="0" applyFont="1" applyAlignment="1">
      <alignment vertical="top" wrapText="1"/>
    </xf>
    <xf numFmtId="0" fontId="6" fillId="0" borderId="0" xfId="14" applyBorder="1" applyAlignment="1">
      <alignment horizontal="left" vertical="top" wrapText="1"/>
    </xf>
    <xf numFmtId="0" fontId="6" fillId="0" borderId="0" xfId="14" applyBorder="1" applyAlignment="1">
      <alignment horizontal="justify" vertical="top" wrapText="1"/>
    </xf>
    <xf numFmtId="165" fontId="7" fillId="0" borderId="6" xfId="0" applyNumberFormat="1" applyFont="1" applyBorder="1" applyAlignment="1">
      <alignment wrapText="1"/>
    </xf>
    <xf numFmtId="165" fontId="7" fillId="0" borderId="6" xfId="0" applyNumberFormat="1" applyFont="1" applyBorder="1" applyAlignment="1">
      <alignment vertical="top" wrapText="1"/>
    </xf>
    <xf numFmtId="0" fontId="7" fillId="0" borderId="6" xfId="8" applyNumberFormat="1" applyFont="1" applyBorder="1" applyAlignment="1">
      <alignment horizontal="center" vertical="top"/>
    </xf>
    <xf numFmtId="0" fontId="7" fillId="0" borderId="6" xfId="1" applyNumberFormat="1" applyFont="1" applyBorder="1" applyAlignment="1">
      <alignment horizontal="center" vertical="top"/>
    </xf>
    <xf numFmtId="167" fontId="7" fillId="0" borderId="6" xfId="1" applyNumberFormat="1" applyFont="1" applyFill="1" applyBorder="1" applyAlignment="1">
      <alignment vertical="top"/>
    </xf>
    <xf numFmtId="166" fontId="7" fillId="0" borderId="6" xfId="0" applyNumberFormat="1" applyFont="1" applyBorder="1" applyAlignment="1">
      <alignment vertical="top" wrapText="1"/>
    </xf>
    <xf numFmtId="0" fontId="8" fillId="0" borderId="0" xfId="0" applyFont="1" applyAlignment="1">
      <alignment vertical="top"/>
    </xf>
    <xf numFmtId="165" fontId="7" fillId="0" borderId="6" xfId="0" applyNumberFormat="1" applyFont="1" applyBorder="1" applyAlignment="1">
      <alignment vertical="top"/>
    </xf>
    <xf numFmtId="165" fontId="7" fillId="0" borderId="13" xfId="0" applyNumberFormat="1" applyFont="1" applyBorder="1" applyAlignment="1">
      <alignment vertical="top"/>
    </xf>
    <xf numFmtId="0" fontId="7" fillId="0" borderId="13" xfId="8" applyNumberFormat="1" applyFont="1" applyBorder="1" applyAlignment="1">
      <alignment horizontal="center" vertical="top"/>
    </xf>
    <xf numFmtId="0" fontId="7" fillId="0" borderId="13" xfId="1" applyNumberFormat="1" applyFont="1" applyBorder="1" applyAlignment="1">
      <alignment horizontal="center" vertical="top"/>
    </xf>
    <xf numFmtId="167" fontId="7" fillId="0" borderId="13" xfId="1" applyNumberFormat="1" applyFont="1" applyFill="1" applyBorder="1" applyAlignment="1">
      <alignment vertical="top"/>
    </xf>
    <xf numFmtId="166" fontId="7" fillId="0" borderId="13" xfId="0" applyNumberFormat="1" applyFont="1" applyBorder="1" applyAlignment="1">
      <alignment vertical="top" wrapText="1"/>
    </xf>
    <xf numFmtId="166" fontId="7" fillId="0" borderId="6" xfId="0" applyNumberFormat="1" applyFont="1" applyBorder="1" applyAlignment="1">
      <alignment vertical="top"/>
    </xf>
    <xf numFmtId="44" fontId="7" fillId="0" borderId="6" xfId="8" applyFont="1" applyFill="1" applyBorder="1" applyAlignment="1" applyProtection="1">
      <alignment wrapText="1"/>
    </xf>
    <xf numFmtId="43" fontId="7" fillId="0" borderId="13" xfId="0" applyNumberFormat="1" applyFont="1" applyBorder="1" applyAlignment="1">
      <alignment horizontal="center" vertical="top"/>
    </xf>
    <xf numFmtId="43" fontId="7" fillId="0" borderId="13" xfId="0" applyNumberFormat="1" applyFont="1" applyBorder="1" applyAlignment="1">
      <alignment horizontal="left" wrapText="1"/>
    </xf>
    <xf numFmtId="166" fontId="7" fillId="0" borderId="13" xfId="0" applyNumberFormat="1" applyFont="1" applyBorder="1" applyAlignment="1">
      <alignment horizontal="left"/>
    </xf>
    <xf numFmtId="0" fontId="8" fillId="0" borderId="0" xfId="0" applyFont="1" applyAlignment="1">
      <alignment horizontal="left"/>
    </xf>
    <xf numFmtId="167" fontId="7" fillId="0" borderId="6" xfId="1" applyNumberFormat="1" applyFont="1" applyFill="1" applyBorder="1" applyAlignment="1">
      <alignment horizontal="center" vertical="top"/>
    </xf>
    <xf numFmtId="167" fontId="7" fillId="0" borderId="13" xfId="1" applyNumberFormat="1" applyFont="1" applyFill="1" applyBorder="1" applyAlignment="1">
      <alignment horizontal="center" vertical="top"/>
    </xf>
    <xf numFmtId="0" fontId="7" fillId="0" borderId="0" xfId="0" applyFont="1" applyAlignment="1">
      <alignment horizontal="center"/>
    </xf>
    <xf numFmtId="0" fontId="7" fillId="0" borderId="0" xfId="0" applyFont="1" applyAlignment="1">
      <alignment vertical="top" wrapText="1"/>
    </xf>
    <xf numFmtId="0" fontId="7" fillId="0" borderId="3" xfId="0" applyFont="1" applyBorder="1" applyAlignment="1">
      <alignment vertical="top" wrapText="1"/>
    </xf>
    <xf numFmtId="0" fontId="29" fillId="0" borderId="0" xfId="0" applyFont="1" applyAlignment="1">
      <alignment horizontal="justify" vertical="top" wrapText="1"/>
    </xf>
    <xf numFmtId="0" fontId="39" fillId="0" borderId="0" xfId="0" applyFont="1" applyAlignment="1">
      <alignment horizontal="justify" vertical="top" wrapText="1"/>
    </xf>
    <xf numFmtId="0" fontId="31" fillId="0" borderId="0" xfId="0" applyFont="1" applyAlignment="1">
      <alignment horizontal="justify" vertical="top" wrapText="1"/>
    </xf>
    <xf numFmtId="0" fontId="38" fillId="0" borderId="0" xfId="0" applyFont="1" applyAlignment="1">
      <alignment horizontal="justify" vertical="top" wrapText="1"/>
    </xf>
    <xf numFmtId="0" fontId="29" fillId="0" borderId="0" xfId="0" applyFont="1" applyAlignment="1">
      <alignment horizontal="left" vertical="top" wrapText="1"/>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3" fillId="0" borderId="0" xfId="7" applyFont="1" applyAlignment="1" applyProtection="1">
      <alignment horizontal="left" vertical="center"/>
      <protection locked="0"/>
    </xf>
    <xf numFmtId="0" fontId="13" fillId="0" borderId="3" xfId="7" applyFont="1" applyBorder="1" applyAlignment="1" applyProtection="1">
      <alignment horizontal="left" vertical="center"/>
      <protection locked="0"/>
    </xf>
    <xf numFmtId="0" fontId="9" fillId="0" borderId="2" xfId="7" applyFont="1" applyBorder="1" applyAlignment="1" applyProtection="1">
      <alignment vertical="center" wrapText="1"/>
      <protection locked="0"/>
    </xf>
    <xf numFmtId="0" fontId="9" fillId="0" borderId="0" xfId="7" applyFont="1" applyAlignment="1" applyProtection="1">
      <alignment vertical="center" wrapText="1"/>
      <protection locked="0"/>
    </xf>
    <xf numFmtId="0" fontId="9" fillId="0" borderId="3" xfId="7" applyFont="1" applyBorder="1" applyAlignment="1" applyProtection="1">
      <alignment vertical="center" wrapText="1"/>
      <protection locked="0"/>
    </xf>
    <xf numFmtId="0" fontId="13" fillId="0" borderId="0" xfId="7" applyFont="1" applyAlignment="1" applyProtection="1">
      <alignment horizontal="left" vertical="center" wrapText="1"/>
      <protection locked="0"/>
    </xf>
    <xf numFmtId="0" fontId="13" fillId="0" borderId="3" xfId="7" applyFont="1" applyBorder="1" applyAlignment="1" applyProtection="1">
      <alignment horizontal="left" vertical="center" wrapText="1"/>
      <protection locked="0"/>
    </xf>
    <xf numFmtId="0" fontId="9" fillId="0" borderId="2" xfId="0" applyFont="1" applyBorder="1" applyAlignment="1">
      <alignment vertical="top" wrapText="1"/>
    </xf>
    <xf numFmtId="0" fontId="9" fillId="0" borderId="0" xfId="0" applyFont="1" applyAlignment="1">
      <alignment vertical="top" wrapText="1"/>
    </xf>
    <xf numFmtId="43" fontId="9" fillId="2" borderId="7" xfId="0" applyNumberFormat="1" applyFont="1" applyFill="1" applyBorder="1" applyAlignment="1">
      <alignment horizontal="left" vertical="center" wrapText="1"/>
    </xf>
    <xf numFmtId="43" fontId="9" fillId="2" borderId="4" xfId="0" applyNumberFormat="1" applyFont="1" applyFill="1" applyBorder="1" applyAlignment="1">
      <alignment horizontal="left" vertical="center" wrapText="1"/>
    </xf>
    <xf numFmtId="0" fontId="25" fillId="3" borderId="10" xfId="0" applyFont="1" applyFill="1" applyBorder="1" applyAlignment="1">
      <alignment horizontal="left" vertical="center"/>
    </xf>
    <xf numFmtId="0" fontId="25" fillId="3" borderId="11" xfId="0" applyFont="1" applyFill="1" applyBorder="1" applyAlignment="1">
      <alignment horizontal="left" vertical="center"/>
    </xf>
    <xf numFmtId="0" fontId="25" fillId="3" borderId="12" xfId="0" applyFont="1" applyFill="1" applyBorder="1" applyAlignment="1">
      <alignment horizontal="left" vertical="center"/>
    </xf>
    <xf numFmtId="167" fontId="9" fillId="4" borderId="8" xfId="8" applyNumberFormat="1" applyFont="1" applyFill="1" applyBorder="1" applyAlignment="1">
      <alignment horizontal="right" vertical="center" wrapText="1"/>
    </xf>
    <xf numFmtId="167" fontId="9" fillId="2" borderId="8" xfId="8" applyNumberFormat="1" applyFont="1" applyFill="1" applyBorder="1" applyAlignment="1">
      <alignment horizontal="right" vertical="center" wrapText="1"/>
    </xf>
    <xf numFmtId="0" fontId="34" fillId="0" borderId="0" xfId="0" applyFont="1" applyAlignment="1">
      <alignment horizontal="justify" vertical="top" wrapText="1"/>
    </xf>
    <xf numFmtId="0" fontId="32" fillId="0" borderId="0" xfId="0" applyFont="1" applyAlignment="1">
      <alignment horizontal="justify" vertical="top" wrapText="1"/>
    </xf>
    <xf numFmtId="0" fontId="34" fillId="0" borderId="0" xfId="0" applyFont="1" applyAlignment="1">
      <alignment vertical="top" wrapText="1"/>
    </xf>
    <xf numFmtId="0" fontId="32" fillId="0" borderId="0" xfId="0" applyFont="1" applyAlignment="1">
      <alignment horizontal="left" vertical="top" wrapText="1"/>
    </xf>
    <xf numFmtId="167" fontId="9" fillId="0" borderId="8" xfId="8" applyNumberFormat="1" applyFont="1" applyFill="1" applyBorder="1" applyAlignment="1">
      <alignment horizontal="right" vertical="center" wrapText="1"/>
    </xf>
    <xf numFmtId="167" fontId="9" fillId="0" borderId="15" xfId="8" applyNumberFormat="1" applyFont="1" applyFill="1" applyBorder="1" applyAlignment="1">
      <alignment horizontal="right" vertical="center" wrapText="1"/>
    </xf>
    <xf numFmtId="0" fontId="34" fillId="0" borderId="0" xfId="0" applyFont="1" applyAlignment="1">
      <alignment horizontal="left" vertical="top" wrapText="1"/>
    </xf>
    <xf numFmtId="0" fontId="16" fillId="0" borderId="0" xfId="0" applyFont="1" applyAlignment="1">
      <alignment vertical="top" wrapText="1"/>
    </xf>
    <xf numFmtId="0" fontId="36" fillId="0" borderId="0" xfId="0" applyFont="1" applyAlignment="1">
      <alignment horizontal="left" vertical="top" wrapText="1"/>
    </xf>
    <xf numFmtId="43" fontId="9" fillId="0" borderId="7" xfId="0" applyNumberFormat="1" applyFont="1" applyBorder="1" applyAlignment="1">
      <alignment horizontal="left" vertical="center" wrapText="1"/>
    </xf>
    <xf numFmtId="43" fontId="9" fillId="0" borderId="14" xfId="0" applyNumberFormat="1" applyFont="1" applyBorder="1" applyAlignment="1">
      <alignment horizontal="left" vertical="center" wrapText="1"/>
    </xf>
    <xf numFmtId="0" fontId="7" fillId="0" borderId="8" xfId="8" applyNumberFormat="1" applyFont="1" applyFill="1" applyBorder="1" applyAlignment="1">
      <alignment horizontal="center" vertical="center" wrapText="1"/>
    </xf>
    <xf numFmtId="0" fontId="7" fillId="0" borderId="15" xfId="8" applyNumberFormat="1" applyFont="1" applyFill="1" applyBorder="1" applyAlignment="1">
      <alignment horizontal="center" vertical="center" wrapText="1"/>
    </xf>
    <xf numFmtId="167" fontId="9" fillId="2" borderId="8" xfId="0" applyNumberFormat="1" applyFont="1" applyFill="1" applyBorder="1" applyAlignment="1">
      <alignment horizontal="right" vertical="center" wrapText="1"/>
    </xf>
    <xf numFmtId="167" fontId="9" fillId="2" borderId="11" xfId="0" applyNumberFormat="1" applyFont="1" applyFill="1" applyBorder="1" applyAlignment="1">
      <alignment horizontal="right" vertical="center" wrapText="1"/>
    </xf>
    <xf numFmtId="43" fontId="9" fillId="2" borderId="10" xfId="0" applyNumberFormat="1" applyFont="1" applyFill="1" applyBorder="1" applyAlignment="1">
      <alignment horizontal="left" vertical="center" wrapText="1"/>
    </xf>
    <xf numFmtId="0" fontId="27" fillId="2" borderId="10" xfId="0" applyFont="1" applyFill="1" applyBorder="1" applyAlignment="1">
      <alignment horizontal="left" vertical="center"/>
    </xf>
    <xf numFmtId="43" fontId="9" fillId="4" borderId="7" xfId="0" applyNumberFormat="1" applyFont="1" applyFill="1" applyBorder="1" applyAlignment="1">
      <alignment horizontal="left" vertical="center" wrapText="1"/>
    </xf>
    <xf numFmtId="0" fontId="9" fillId="2" borderId="10" xfId="0" applyFont="1" applyFill="1" applyBorder="1" applyAlignment="1">
      <alignment horizontal="left" vertical="center"/>
    </xf>
  </cellXfs>
  <cellStyles count="15">
    <cellStyle name="Currency" xfId="1" builtinId="4"/>
    <cellStyle name="Currency 2" xfId="2" xr:uid="{00000000-0005-0000-0000-000000000000}"/>
    <cellStyle name="Currency 2 2" xfId="8" xr:uid="{00000000-0005-0000-0000-000001000000}"/>
    <cellStyle name="Currency 2 3" xfId="6" xr:uid="{00000000-0005-0000-0000-000002000000}"/>
    <cellStyle name="Currency 2 4" xfId="13" xr:uid="{00000000-0005-0000-0000-000003000000}"/>
    <cellStyle name="Currency 3" xfId="3" xr:uid="{00000000-0005-0000-0000-000004000000}"/>
    <cellStyle name="Currency 4" xfId="12" xr:uid="{00000000-0005-0000-0000-000005000000}"/>
    <cellStyle name="Hyperlink" xfId="14" builtinId="8"/>
    <cellStyle name="Normal" xfId="0" builtinId="0"/>
    <cellStyle name="Normal 2" xfId="7" xr:uid="{00000000-0005-0000-0000-000007000000}"/>
    <cellStyle name="Normal 2 2" xfId="5" xr:uid="{00000000-0005-0000-0000-000008000000}"/>
    <cellStyle name="Normal 2 2 3" xfId="11" xr:uid="{00000000-0005-0000-0000-000009000000}"/>
    <cellStyle name="Normal 2 3" xfId="9" xr:uid="{00000000-0005-0000-0000-00000A000000}"/>
    <cellStyle name="Normal 3" xfId="10" xr:uid="{00000000-0005-0000-0000-00000B000000}"/>
    <cellStyle name="Normal 7" xfId="4" xr:uid="{00000000-0005-0000-0000-00000C000000}"/>
  </cellStyles>
  <dxfs count="0"/>
  <tableStyles count="0" defaultTableStyle="TableStyleMedium2" defaultPivotStyle="PivotStyleLight16"/>
  <colors>
    <mruColors>
      <color rgb="FF575656"/>
      <color rgb="FF009193"/>
      <color rgb="FFFFF59B"/>
      <color rgb="FF5E5C59"/>
      <color rgb="FFD60000"/>
      <color rgb="FFDE00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6</xdr:col>
      <xdr:colOff>208564</xdr:colOff>
      <xdr:row>1</xdr:row>
      <xdr:rowOff>3512</xdr:rowOff>
    </xdr:to>
    <xdr:pic>
      <xdr:nvPicPr>
        <xdr:cNvPr id="17" name="Obrázek 2">
          <a:extLst>
            <a:ext uri="{FF2B5EF4-FFF2-40B4-BE49-F238E27FC236}">
              <a16:creationId xmlns:a16="http://schemas.microsoft.com/office/drawing/2014/main" id="{00000000-0008-0000-0000-000011000000}"/>
            </a:ext>
          </a:extLst>
        </xdr:cNvPr>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8728147" cy="202492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101600</xdr:colOff>
          <xdr:row>13</xdr:row>
          <xdr:rowOff>0</xdr:rowOff>
        </xdr:from>
        <xdr:to>
          <xdr:col>0</xdr:col>
          <xdr:colOff>914400</xdr:colOff>
          <xdr:row>14</xdr:row>
          <xdr:rowOff>38100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0</xdr:col>
      <xdr:colOff>2920999</xdr:colOff>
      <xdr:row>1</xdr:row>
      <xdr:rowOff>95249</xdr:rowOff>
    </xdr:from>
    <xdr:to>
      <xdr:col>4</xdr:col>
      <xdr:colOff>518583</xdr:colOff>
      <xdr:row>3</xdr:row>
      <xdr:rowOff>164041</xdr:rowOff>
    </xdr:to>
    <xdr:sp macro="" textlink="">
      <xdr:nvSpPr>
        <xdr:cNvPr id="2" name="Textfeld 1">
          <a:extLst>
            <a:ext uri="{FF2B5EF4-FFF2-40B4-BE49-F238E27FC236}">
              <a16:creationId xmlns:a16="http://schemas.microsoft.com/office/drawing/2014/main" id="{00000000-0008-0000-0000-000002000000}"/>
            </a:ext>
          </a:extLst>
        </xdr:cNvPr>
        <xdr:cNvSpPr txBox="1"/>
      </xdr:nvSpPr>
      <xdr:spPr>
        <a:xfrm>
          <a:off x="2920999" y="2074332"/>
          <a:ext cx="2868084" cy="439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2000" b="1">
              <a:solidFill>
                <a:schemeClr val="tx1"/>
              </a:solidFill>
              <a:latin typeface="Century Gothic" panose="020B0502020202020204" pitchFamily="34" charset="0"/>
              <a:cs typeface="Arial" panose="020B0604020202020204" pitchFamily="34" charset="0"/>
            </a:rPr>
            <a:t>LIBERTY</a:t>
          </a:r>
          <a:r>
            <a:rPr lang="pl-PL" sz="2000" b="1" baseline="0">
              <a:solidFill>
                <a:schemeClr val="tx1"/>
              </a:solidFill>
              <a:latin typeface="Century Gothic" panose="020B0502020202020204" pitchFamily="34" charset="0"/>
              <a:cs typeface="Arial" panose="020B0604020202020204" pitchFamily="34" charset="0"/>
            </a:rPr>
            <a:t> POLAND</a:t>
          </a:r>
          <a:endParaRPr lang="de-DE" sz="2000" b="1">
            <a:solidFill>
              <a:schemeClr val="tx1"/>
            </a:solidFill>
            <a:latin typeface="Century Gothic" panose="020B0502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16</xdr:row>
          <xdr:rowOff>177800</xdr:rowOff>
        </xdr:from>
        <xdr:to>
          <xdr:col>0</xdr:col>
          <xdr:colOff>927100</xdr:colOff>
          <xdr:row>17</xdr:row>
          <xdr:rowOff>203200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1</xdr:col>
      <xdr:colOff>537882</xdr:colOff>
      <xdr:row>16</xdr:row>
      <xdr:rowOff>168090</xdr:rowOff>
    </xdr:from>
    <xdr:to>
      <xdr:col>2</xdr:col>
      <xdr:colOff>515470</xdr:colOff>
      <xdr:row>17</xdr:row>
      <xdr:rowOff>171450</xdr:rowOff>
    </xdr:to>
    <xdr:sp macro="" textlink="">
      <xdr:nvSpPr>
        <xdr:cNvPr id="6" name="ZoneTexte 1">
          <a:extLst>
            <a:ext uri="{FF2B5EF4-FFF2-40B4-BE49-F238E27FC236}">
              <a16:creationId xmlns:a16="http://schemas.microsoft.com/office/drawing/2014/main" id="{00000000-0008-0000-0000-000006000000}"/>
            </a:ext>
          </a:extLst>
        </xdr:cNvPr>
        <xdr:cNvSpPr txBox="1"/>
      </xdr:nvSpPr>
      <xdr:spPr>
        <a:xfrm>
          <a:off x="3900207" y="4444815"/>
          <a:ext cx="539563" cy="19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latin typeface="Arial" panose="020B0604020202020204" pitchFamily="34" charset="0"/>
              <a:cs typeface="Arial" panose="020B0604020202020204" pitchFamily="34" charset="0"/>
            </a:rPr>
            <a:t>X %</a:t>
          </a: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15</xdr:row>
          <xdr:rowOff>177800</xdr:rowOff>
        </xdr:from>
        <xdr:to>
          <xdr:col>0</xdr:col>
          <xdr:colOff>927100</xdr:colOff>
          <xdr:row>16</xdr:row>
          <xdr:rowOff>203200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16</xdr:row>
          <xdr:rowOff>177800</xdr:rowOff>
        </xdr:from>
        <xdr:to>
          <xdr:col>0</xdr:col>
          <xdr:colOff>927100</xdr:colOff>
          <xdr:row>17</xdr:row>
          <xdr:rowOff>203200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1</xdr:col>
      <xdr:colOff>537882</xdr:colOff>
      <xdr:row>16</xdr:row>
      <xdr:rowOff>168090</xdr:rowOff>
    </xdr:from>
    <xdr:to>
      <xdr:col>2</xdr:col>
      <xdr:colOff>515470</xdr:colOff>
      <xdr:row>17</xdr:row>
      <xdr:rowOff>171450</xdr:rowOff>
    </xdr:to>
    <xdr:sp macro="" textlink="">
      <xdr:nvSpPr>
        <xdr:cNvPr id="9" name="ZoneTexte 1">
          <a:extLst>
            <a:ext uri="{FF2B5EF4-FFF2-40B4-BE49-F238E27FC236}">
              <a16:creationId xmlns:a16="http://schemas.microsoft.com/office/drawing/2014/main" id="{00000000-0008-0000-0000-000009000000}"/>
            </a:ext>
          </a:extLst>
        </xdr:cNvPr>
        <xdr:cNvSpPr txBox="1"/>
      </xdr:nvSpPr>
      <xdr:spPr>
        <a:xfrm>
          <a:off x="3900207" y="4444815"/>
          <a:ext cx="539563" cy="19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rgbClr val="0070C0"/>
              </a:solidFill>
              <a:latin typeface="Arial" panose="020B0604020202020204" pitchFamily="34" charset="0"/>
              <a:cs typeface="Arial" panose="020B0604020202020204" pitchFamily="34" charset="0"/>
            </a:rPr>
            <a:t>X %</a:t>
          </a: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15</xdr:row>
          <xdr:rowOff>177800</xdr:rowOff>
        </xdr:from>
        <xdr:to>
          <xdr:col>0</xdr:col>
          <xdr:colOff>927100</xdr:colOff>
          <xdr:row>16</xdr:row>
          <xdr:rowOff>203200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16</xdr:row>
          <xdr:rowOff>177800</xdr:rowOff>
        </xdr:from>
        <xdr:to>
          <xdr:col>0</xdr:col>
          <xdr:colOff>927100</xdr:colOff>
          <xdr:row>17</xdr:row>
          <xdr:rowOff>203200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1</xdr:col>
      <xdr:colOff>537882</xdr:colOff>
      <xdr:row>16</xdr:row>
      <xdr:rowOff>168090</xdr:rowOff>
    </xdr:from>
    <xdr:to>
      <xdr:col>2</xdr:col>
      <xdr:colOff>515470</xdr:colOff>
      <xdr:row>17</xdr:row>
      <xdr:rowOff>171450</xdr:rowOff>
    </xdr:to>
    <xdr:sp macro="" textlink="">
      <xdr:nvSpPr>
        <xdr:cNvPr id="12" name="ZoneTexte 1">
          <a:extLst>
            <a:ext uri="{FF2B5EF4-FFF2-40B4-BE49-F238E27FC236}">
              <a16:creationId xmlns:a16="http://schemas.microsoft.com/office/drawing/2014/main" id="{00000000-0008-0000-0000-00000C000000}"/>
            </a:ext>
          </a:extLst>
        </xdr:cNvPr>
        <xdr:cNvSpPr txBox="1"/>
      </xdr:nvSpPr>
      <xdr:spPr>
        <a:xfrm>
          <a:off x="3900207" y="4444815"/>
          <a:ext cx="539563" cy="19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latin typeface="Arial" panose="020B0604020202020204" pitchFamily="34" charset="0"/>
              <a:cs typeface="Arial" panose="020B0604020202020204" pitchFamily="34" charset="0"/>
            </a:rPr>
            <a:t>X %</a:t>
          </a: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15</xdr:row>
          <xdr:rowOff>177800</xdr:rowOff>
        </xdr:from>
        <xdr:to>
          <xdr:col>0</xdr:col>
          <xdr:colOff>927100</xdr:colOff>
          <xdr:row>16</xdr:row>
          <xdr:rowOff>203200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16</xdr:row>
          <xdr:rowOff>177800</xdr:rowOff>
        </xdr:from>
        <xdr:to>
          <xdr:col>0</xdr:col>
          <xdr:colOff>927100</xdr:colOff>
          <xdr:row>17</xdr:row>
          <xdr:rowOff>203200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1</xdr:col>
      <xdr:colOff>537882</xdr:colOff>
      <xdr:row>16</xdr:row>
      <xdr:rowOff>168090</xdr:rowOff>
    </xdr:from>
    <xdr:to>
      <xdr:col>2</xdr:col>
      <xdr:colOff>515470</xdr:colOff>
      <xdr:row>17</xdr:row>
      <xdr:rowOff>171450</xdr:rowOff>
    </xdr:to>
    <xdr:sp macro="" textlink="">
      <xdr:nvSpPr>
        <xdr:cNvPr id="15" name="ZoneTexte 1">
          <a:extLst>
            <a:ext uri="{FF2B5EF4-FFF2-40B4-BE49-F238E27FC236}">
              <a16:creationId xmlns:a16="http://schemas.microsoft.com/office/drawing/2014/main" id="{00000000-0008-0000-0000-00000F000000}"/>
            </a:ext>
          </a:extLst>
        </xdr:cNvPr>
        <xdr:cNvSpPr txBox="1"/>
      </xdr:nvSpPr>
      <xdr:spPr>
        <a:xfrm>
          <a:off x="3900207" y="4444815"/>
          <a:ext cx="539563" cy="19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rgbClr val="FF0000"/>
              </a:solidFill>
              <a:latin typeface="Arial" panose="020B0604020202020204" pitchFamily="34" charset="0"/>
              <a:cs typeface="Arial" panose="020B0604020202020204" pitchFamily="34" charset="0"/>
            </a:rPr>
            <a:t>X %</a:t>
          </a: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15</xdr:row>
          <xdr:rowOff>177800</xdr:rowOff>
        </xdr:from>
        <xdr:to>
          <xdr:col>0</xdr:col>
          <xdr:colOff>927100</xdr:colOff>
          <xdr:row>16</xdr:row>
          <xdr:rowOff>203200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3" Type="http://schemas.openxmlformats.org/officeDocument/2006/relationships/hyperlink" Target="../LibertyInternationalTourismGroup/Development%20HQ/Forms/AllItems.aspx?id=%2Fsites%2FLibertyInternationalTourismGroup%2FDevelopment%20HQ%2FOperations%2FTerms%20%26%20Conditions%2C%20Contracts%2FContracts%2FLITG%20Data%20Processing%20Addendum%2Epdf&amp;viewid=b3b7090f%2D5458%2D4dc7%2D9b55%2Dbdd714e90b58&amp;parent=%2Fsites%2FLibertyInternationalTourismGroup%2FDevelopment%20HQ%2FOperations%2FTerms%20%26%20Conditions%2C%20Contracts%2FContracts" TargetMode="External"/><Relationship Id="rId7" Type="http://schemas.openxmlformats.org/officeDocument/2006/relationships/ctrlProp" Target="../ctrlProps/ctrlProp1.xml"/><Relationship Id="rId12" Type="http://schemas.openxmlformats.org/officeDocument/2006/relationships/ctrlProp" Target="../ctrlProps/ctrlProp6.xml"/><Relationship Id="rId2" Type="http://schemas.openxmlformats.org/officeDocument/2006/relationships/hyperlink" Target="../LibertyInternationalTourismGroup/Development%20HQ/Forms/AllItems.aspx?id=%2Fsites%2FLibertyInternationalTourismGroup%2FDevelopment%20HQ%2FOperations%2FTerms%20%26%20Conditions%2C%20Contracts%2FContracts%2FTerms%20and%20Conditions%20for%20Procurement%20Services%2Epdf&amp;viewid=b3b7090f%2D5458%2D4dc7%2D9b55%2Dbdd714e90b58&amp;q=procurement%20services&amp;parent=%2Fsites%2FLibertyInternationalTourismGroup%2FDevelopment%20HQ%2FOperations%2FTerms%20%26%20Conditions%2C%20Contracts%2FContracts&amp;parentview=7" TargetMode="External"/><Relationship Id="rId1" Type="http://schemas.openxmlformats.org/officeDocument/2006/relationships/hyperlink" Target="../../:w:/r/sites/LibertyInternationalTourismGroup/_layouts/15/Doc.aspx?sourcedoc=%7B8D8DD6E2-1627-429A-9437-25EB4E0C0259%7D&amp;file=Contract%20LITG%20Purchase%20%20Sale_updated_long%20version.docx&amp;action=default&amp;mobileredirect=true" TargetMode="External"/><Relationship Id="rId6" Type="http://schemas.openxmlformats.org/officeDocument/2006/relationships/vmlDrawing" Target="../drawings/vmlDrawing1.vml"/><Relationship Id="rId11" Type="http://schemas.openxmlformats.org/officeDocument/2006/relationships/ctrlProp" Target="../ctrlProps/ctrlProp5.xml"/><Relationship Id="rId5" Type="http://schemas.openxmlformats.org/officeDocument/2006/relationships/drawing" Target="../drawings/drawing1.xml"/><Relationship Id="rId15" Type="http://schemas.openxmlformats.org/officeDocument/2006/relationships/ctrlProp" Target="../ctrlProps/ctrlProp9.xml"/><Relationship Id="rId10" Type="http://schemas.openxmlformats.org/officeDocument/2006/relationships/ctrlProp" Target="../ctrlProps/ctrlProp4.xml"/><Relationship Id="rId4" Type="http://schemas.openxmlformats.org/officeDocument/2006/relationships/printerSettings" Target="../printerSettings/printerSettings1.bin"/><Relationship Id="rId9" Type="http://schemas.openxmlformats.org/officeDocument/2006/relationships/ctrlProp" Target="../ctrlProps/ctrlProp3.xml"/><Relationship Id="rId14"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3"/>
  <sheetViews>
    <sheetView showGridLines="0" tabSelected="1" showRuler="0" showWhiteSpace="0" view="pageBreakPreview" zoomScale="90" zoomScaleNormal="90" zoomScaleSheetLayoutView="90" zoomScalePageLayoutView="90" workbookViewId="0">
      <selection activeCell="B6" sqref="B6:F6"/>
    </sheetView>
  </sheetViews>
  <sheetFormatPr baseColWidth="10" defaultColWidth="8.83203125" defaultRowHeight="14" x14ac:dyDescent="0.15"/>
  <cols>
    <col min="1" max="1" width="50.5" style="2" customWidth="1"/>
    <col min="2" max="2" width="8.5" style="3" bestFit="1" customWidth="1"/>
    <col min="3" max="3" width="9.1640625" style="5" customWidth="1"/>
    <col min="4" max="4" width="11" style="2" customWidth="1"/>
    <col min="5" max="5" width="14.5" style="2" customWidth="1"/>
    <col min="6" max="6" width="34.33203125" style="2" customWidth="1"/>
    <col min="7" max="7" width="3.5" style="1" customWidth="1"/>
    <col min="8" max="16384" width="8.83203125" style="1"/>
  </cols>
  <sheetData>
    <row r="1" spans="1:9" ht="159" customHeight="1" x14ac:dyDescent="0.15">
      <c r="A1" s="148"/>
      <c r="B1" s="148"/>
      <c r="C1" s="148"/>
      <c r="D1" s="148"/>
      <c r="E1" s="148"/>
      <c r="F1" s="148"/>
      <c r="G1" s="148"/>
    </row>
    <row r="2" spans="1:9" x14ac:dyDescent="0.15">
      <c r="C2" s="4"/>
    </row>
    <row r="3" spans="1:9" x14ac:dyDescent="0.15">
      <c r="C3" s="4"/>
    </row>
    <row r="5" spans="1:9" ht="23" x14ac:dyDescent="0.15">
      <c r="A5" s="156" t="s">
        <v>0</v>
      </c>
      <c r="B5" s="157"/>
      <c r="C5" s="157"/>
      <c r="D5" s="157"/>
      <c r="E5" s="157"/>
      <c r="F5" s="158"/>
      <c r="H5" s="6"/>
    </row>
    <row r="6" spans="1:9" ht="17" x14ac:dyDescent="0.15">
      <c r="A6" s="7" t="s">
        <v>1</v>
      </c>
      <c r="B6" s="159" t="s">
        <v>78</v>
      </c>
      <c r="C6" s="159"/>
      <c r="D6" s="159"/>
      <c r="E6" s="159"/>
      <c r="F6" s="160"/>
      <c r="G6" s="8"/>
    </row>
    <row r="7" spans="1:9" ht="17" x14ac:dyDescent="0.15">
      <c r="A7" s="7" t="s">
        <v>2</v>
      </c>
      <c r="B7" s="159" t="s">
        <v>79</v>
      </c>
      <c r="C7" s="159"/>
      <c r="D7" s="159"/>
      <c r="E7" s="159"/>
      <c r="F7" s="160"/>
      <c r="G7" s="8"/>
    </row>
    <row r="8" spans="1:9" ht="17" x14ac:dyDescent="0.15">
      <c r="A8" s="7" t="s">
        <v>3</v>
      </c>
      <c r="B8" s="159" t="s">
        <v>80</v>
      </c>
      <c r="C8" s="159"/>
      <c r="D8" s="159"/>
      <c r="E8" s="159"/>
      <c r="F8" s="160"/>
      <c r="G8" s="8"/>
    </row>
    <row r="9" spans="1:9" ht="17" x14ac:dyDescent="0.15">
      <c r="A9" s="7" t="s">
        <v>4</v>
      </c>
      <c r="B9" s="159" t="s">
        <v>81</v>
      </c>
      <c r="C9" s="159"/>
      <c r="D9" s="159"/>
      <c r="E9" s="159"/>
      <c r="F9" s="160"/>
      <c r="G9" s="8"/>
    </row>
    <row r="10" spans="1:9" ht="17" x14ac:dyDescent="0.15">
      <c r="A10" s="7" t="s">
        <v>5</v>
      </c>
      <c r="B10" s="164" t="s">
        <v>82</v>
      </c>
      <c r="C10" s="164"/>
      <c r="D10" s="164"/>
      <c r="E10" s="164"/>
      <c r="F10" s="165"/>
      <c r="G10" s="9"/>
    </row>
    <row r="11" spans="1:9" ht="16" x14ac:dyDescent="0.15">
      <c r="A11" s="7"/>
      <c r="B11" s="10"/>
      <c r="C11" s="10"/>
      <c r="D11" s="10"/>
      <c r="E11" s="10"/>
      <c r="F11" s="11"/>
      <c r="G11" s="12"/>
    </row>
    <row r="12" spans="1:9" ht="17" x14ac:dyDescent="0.15">
      <c r="A12" s="13" t="s">
        <v>6</v>
      </c>
      <c r="B12" s="14"/>
      <c r="C12" s="14"/>
      <c r="D12" s="14"/>
      <c r="E12" s="14"/>
      <c r="F12" s="15"/>
      <c r="G12" s="16"/>
    </row>
    <row r="13" spans="1:9" ht="16" x14ac:dyDescent="0.15">
      <c r="A13" s="17" t="s">
        <v>7</v>
      </c>
      <c r="B13" s="14"/>
      <c r="C13" s="14"/>
      <c r="D13" s="14"/>
      <c r="E13" s="14"/>
      <c r="F13" s="15"/>
      <c r="G13" s="16"/>
      <c r="H13" s="18"/>
      <c r="I13" s="19"/>
    </row>
    <row r="14" spans="1:9" ht="16.5" customHeight="1" x14ac:dyDescent="0.15">
      <c r="A14" s="17" t="s">
        <v>8</v>
      </c>
      <c r="B14" s="20" t="s">
        <v>9</v>
      </c>
      <c r="C14" s="21"/>
      <c r="D14" s="21"/>
      <c r="E14" s="21"/>
      <c r="F14" s="22"/>
      <c r="G14" s="23"/>
    </row>
    <row r="15" spans="1:9" ht="16.5" customHeight="1" x14ac:dyDescent="0.15">
      <c r="A15" s="17"/>
      <c r="B15" s="24"/>
      <c r="C15" s="23"/>
      <c r="D15" s="23"/>
      <c r="E15" s="23"/>
      <c r="F15" s="25"/>
      <c r="G15" s="23"/>
    </row>
    <row r="16" spans="1:9" s="26" customFormat="1" x14ac:dyDescent="0.15">
      <c r="A16" s="161" t="s">
        <v>10</v>
      </c>
      <c r="B16" s="162"/>
      <c r="C16" s="162"/>
      <c r="D16" s="162"/>
      <c r="E16" s="162"/>
      <c r="F16" s="163"/>
      <c r="H16" s="24"/>
    </row>
    <row r="17" spans="1:8" s="26" customFormat="1" x14ac:dyDescent="0.15">
      <c r="A17" s="166" t="s">
        <v>11</v>
      </c>
      <c r="B17" s="167"/>
      <c r="C17" s="149"/>
      <c r="D17" s="149"/>
      <c r="E17" s="149"/>
      <c r="F17" s="150"/>
      <c r="H17" s="24"/>
    </row>
    <row r="18" spans="1:8" s="26" customFormat="1" x14ac:dyDescent="0.15">
      <c r="A18" s="166" t="s">
        <v>12</v>
      </c>
      <c r="B18" s="167"/>
      <c r="C18" s="149" t="s">
        <v>13</v>
      </c>
      <c r="D18" s="149"/>
      <c r="E18" s="149"/>
      <c r="F18" s="150"/>
      <c r="H18" s="27"/>
    </row>
    <row r="19" spans="1:8" x14ac:dyDescent="0.15">
      <c r="A19" s="28"/>
      <c r="B19" s="29"/>
      <c r="C19" s="29"/>
      <c r="D19" s="29"/>
      <c r="E19" s="29"/>
      <c r="F19" s="30"/>
      <c r="G19" s="31"/>
      <c r="H19" s="32"/>
    </row>
    <row r="20" spans="1:8" ht="30" x14ac:dyDescent="0.15">
      <c r="A20" s="37" t="s">
        <v>18</v>
      </c>
      <c r="B20" s="33" t="s">
        <v>19</v>
      </c>
      <c r="C20" s="34" t="s">
        <v>14</v>
      </c>
      <c r="D20" s="35" t="s">
        <v>15</v>
      </c>
      <c r="E20" s="33" t="s">
        <v>16</v>
      </c>
      <c r="F20" s="33" t="s">
        <v>17</v>
      </c>
    </row>
    <row r="21" spans="1:8" x14ac:dyDescent="0.15">
      <c r="A21" s="193" t="s">
        <v>20</v>
      </c>
      <c r="B21" s="193"/>
      <c r="C21" s="193"/>
      <c r="D21" s="193"/>
      <c r="E21" s="193"/>
      <c r="F21" s="193"/>
    </row>
    <row r="22" spans="1:8" x14ac:dyDescent="0.15">
      <c r="A22" s="170" t="s">
        <v>84</v>
      </c>
      <c r="B22" s="171"/>
      <c r="C22" s="171"/>
      <c r="D22" s="171"/>
      <c r="E22" s="171"/>
      <c r="F22" s="172"/>
    </row>
    <row r="23" spans="1:8" ht="15" x14ac:dyDescent="0.15">
      <c r="A23" s="127" t="s">
        <v>87</v>
      </c>
      <c r="B23" s="39"/>
      <c r="C23" s="40"/>
      <c r="D23" s="36"/>
      <c r="E23" s="36"/>
      <c r="F23" s="41"/>
    </row>
    <row r="24" spans="1:8" x14ac:dyDescent="0.15">
      <c r="A24" s="38" t="s">
        <v>88</v>
      </c>
      <c r="B24" s="39">
        <v>1</v>
      </c>
      <c r="C24" s="40">
        <v>3</v>
      </c>
      <c r="D24" s="36">
        <v>857</v>
      </c>
      <c r="E24" s="36">
        <f t="shared" ref="E24:E26" si="0">B24*C24*D24</f>
        <v>2571</v>
      </c>
      <c r="F24" s="41"/>
    </row>
    <row r="25" spans="1:8" x14ac:dyDescent="0.15">
      <c r="A25" s="38" t="s">
        <v>89</v>
      </c>
      <c r="B25" s="42">
        <v>1</v>
      </c>
      <c r="C25" s="40">
        <v>3</v>
      </c>
      <c r="D25" s="36">
        <v>180</v>
      </c>
      <c r="E25" s="36">
        <f t="shared" si="0"/>
        <v>540</v>
      </c>
      <c r="F25" s="41"/>
    </row>
    <row r="26" spans="1:8" s="133" customFormat="1" ht="60" x14ac:dyDescent="0.15">
      <c r="A26" s="128" t="s">
        <v>97</v>
      </c>
      <c r="B26" s="129">
        <v>1</v>
      </c>
      <c r="C26" s="130">
        <v>130</v>
      </c>
      <c r="D26" s="131">
        <v>32</v>
      </c>
      <c r="E26" s="131">
        <f t="shared" si="0"/>
        <v>4160</v>
      </c>
      <c r="F26" s="132" t="s">
        <v>90</v>
      </c>
    </row>
    <row r="27" spans="1:8" x14ac:dyDescent="0.15">
      <c r="A27" s="44" t="s">
        <v>91</v>
      </c>
      <c r="B27" s="45"/>
      <c r="C27" s="45"/>
      <c r="D27" s="36"/>
      <c r="E27" s="46"/>
      <c r="F27" s="47"/>
    </row>
    <row r="28" spans="1:8" s="133" customFormat="1" ht="30" x14ac:dyDescent="0.15">
      <c r="A28" s="128" t="s">
        <v>92</v>
      </c>
      <c r="B28" s="129"/>
      <c r="C28" s="130"/>
      <c r="D28" s="131"/>
      <c r="E28" s="131"/>
      <c r="F28" s="132" t="s">
        <v>93</v>
      </c>
    </row>
    <row r="29" spans="1:8" x14ac:dyDescent="0.15">
      <c r="A29" s="38" t="s">
        <v>94</v>
      </c>
      <c r="B29" s="39">
        <v>1</v>
      </c>
      <c r="C29" s="40">
        <v>1</v>
      </c>
      <c r="D29" s="36">
        <v>2460</v>
      </c>
      <c r="E29" s="131">
        <f t="shared" ref="E29:E30" si="1">B29*C29*D29</f>
        <v>2460</v>
      </c>
      <c r="F29" s="41"/>
    </row>
    <row r="30" spans="1:8" s="133" customFormat="1" ht="60" x14ac:dyDescent="0.15">
      <c r="A30" s="134" t="s">
        <v>95</v>
      </c>
      <c r="B30" s="129">
        <v>1</v>
      </c>
      <c r="C30" s="130">
        <v>130</v>
      </c>
      <c r="D30" s="131">
        <v>36</v>
      </c>
      <c r="E30" s="131">
        <f t="shared" si="1"/>
        <v>4680</v>
      </c>
      <c r="F30" s="132" t="s">
        <v>90</v>
      </c>
    </row>
    <row r="31" spans="1:8" s="133" customFormat="1" x14ac:dyDescent="0.15">
      <c r="A31" s="135" t="s">
        <v>96</v>
      </c>
      <c r="B31" s="136"/>
      <c r="C31" s="137"/>
      <c r="D31" s="131"/>
      <c r="E31" s="138"/>
      <c r="F31" s="139"/>
    </row>
    <row r="32" spans="1:8" x14ac:dyDescent="0.15">
      <c r="A32" s="44"/>
      <c r="B32" s="45"/>
      <c r="C32" s="45"/>
      <c r="D32" s="36"/>
      <c r="E32" s="46"/>
      <c r="F32" s="47"/>
    </row>
    <row r="33" spans="1:6" x14ac:dyDescent="0.15">
      <c r="A33" s="48" t="s">
        <v>83</v>
      </c>
      <c r="B33" s="49"/>
      <c r="C33" s="49"/>
      <c r="D33" s="49"/>
      <c r="E33" s="49"/>
      <c r="F33" s="50"/>
    </row>
    <row r="34" spans="1:6" x14ac:dyDescent="0.15">
      <c r="A34" s="38" t="s">
        <v>98</v>
      </c>
      <c r="B34" s="39"/>
      <c r="C34" s="40"/>
      <c r="D34" s="36"/>
      <c r="E34" s="36"/>
      <c r="F34" s="41"/>
    </row>
    <row r="35" spans="1:6" x14ac:dyDescent="0.15">
      <c r="A35" s="38" t="s">
        <v>99</v>
      </c>
      <c r="B35" s="39">
        <v>1</v>
      </c>
      <c r="C35" s="40">
        <v>3</v>
      </c>
      <c r="D35" s="36">
        <v>580</v>
      </c>
      <c r="E35" s="36">
        <f t="shared" ref="E35:E37" si="2">B35*C35*D35</f>
        <v>1740</v>
      </c>
      <c r="F35" s="41"/>
    </row>
    <row r="36" spans="1:6" x14ac:dyDescent="0.15">
      <c r="A36" s="38" t="s">
        <v>100</v>
      </c>
      <c r="B36" s="39">
        <v>1</v>
      </c>
      <c r="C36" s="40">
        <v>3</v>
      </c>
      <c r="D36" s="36">
        <v>180</v>
      </c>
      <c r="E36" s="36">
        <f t="shared" si="2"/>
        <v>540</v>
      </c>
      <c r="F36" s="41"/>
    </row>
    <row r="37" spans="1:6" s="133" customFormat="1" ht="45" x14ac:dyDescent="0.15">
      <c r="A37" s="128" t="s">
        <v>101</v>
      </c>
      <c r="B37" s="130">
        <v>1</v>
      </c>
      <c r="C37" s="130">
        <v>130</v>
      </c>
      <c r="D37" s="131">
        <v>22</v>
      </c>
      <c r="E37" s="131">
        <f t="shared" si="2"/>
        <v>2860</v>
      </c>
      <c r="F37" s="140"/>
    </row>
    <row r="38" spans="1:6" x14ac:dyDescent="0.15">
      <c r="A38" s="43" t="s">
        <v>96</v>
      </c>
      <c r="B38" s="39"/>
      <c r="C38" s="40"/>
      <c r="D38" s="36"/>
      <c r="E38" s="36"/>
      <c r="F38" s="41"/>
    </row>
    <row r="39" spans="1:6" x14ac:dyDescent="0.15">
      <c r="A39" s="44"/>
      <c r="B39" s="45"/>
      <c r="C39" s="45"/>
      <c r="D39" s="36"/>
      <c r="E39" s="46"/>
      <c r="F39" s="47"/>
    </row>
    <row r="40" spans="1:6" x14ac:dyDescent="0.15">
      <c r="A40" s="170" t="s">
        <v>85</v>
      </c>
      <c r="B40" s="171"/>
      <c r="C40" s="171"/>
      <c r="D40" s="171"/>
      <c r="E40" s="171"/>
      <c r="F40" s="172"/>
    </row>
    <row r="41" spans="1:6" x14ac:dyDescent="0.15">
      <c r="A41" s="38" t="s">
        <v>98</v>
      </c>
      <c r="B41" s="39"/>
      <c r="C41" s="40"/>
      <c r="D41" s="36"/>
      <c r="E41" s="36"/>
      <c r="F41" s="41"/>
    </row>
    <row r="42" spans="1:6" x14ac:dyDescent="0.15">
      <c r="A42" s="38" t="s">
        <v>88</v>
      </c>
      <c r="B42" s="39">
        <v>1</v>
      </c>
      <c r="C42" s="40">
        <v>3</v>
      </c>
      <c r="D42" s="36">
        <v>857</v>
      </c>
      <c r="E42" s="36">
        <f t="shared" ref="E42:E49" si="3">B42*C42*D42</f>
        <v>2571</v>
      </c>
      <c r="F42" s="41"/>
    </row>
    <row r="43" spans="1:6" x14ac:dyDescent="0.15">
      <c r="A43" s="38" t="s">
        <v>89</v>
      </c>
      <c r="B43" s="42">
        <v>1</v>
      </c>
      <c r="C43" s="40">
        <v>3</v>
      </c>
      <c r="D43" s="36">
        <v>180</v>
      </c>
      <c r="E43" s="36">
        <f t="shared" si="3"/>
        <v>540</v>
      </c>
      <c r="F43" s="41"/>
    </row>
    <row r="44" spans="1:6" ht="30" x14ac:dyDescent="0.15">
      <c r="A44" s="141" t="s">
        <v>102</v>
      </c>
      <c r="B44" s="39"/>
      <c r="C44" s="40"/>
      <c r="D44" s="36"/>
      <c r="E44" s="36"/>
      <c r="F44" s="41"/>
    </row>
    <row r="45" spans="1:6" s="145" customFormat="1" ht="30" x14ac:dyDescent="0.15">
      <c r="A45" s="143" t="s">
        <v>103</v>
      </c>
      <c r="B45" s="129">
        <v>1</v>
      </c>
      <c r="C45" s="142">
        <v>130</v>
      </c>
      <c r="D45" s="146">
        <v>17</v>
      </c>
      <c r="E45" s="147">
        <f>B45*C45*D45</f>
        <v>2210</v>
      </c>
      <c r="F45" s="144"/>
    </row>
    <row r="46" spans="1:6" ht="60" x14ac:dyDescent="0.15">
      <c r="A46" s="128" t="s">
        <v>97</v>
      </c>
      <c r="B46" s="129">
        <v>1</v>
      </c>
      <c r="C46" s="130">
        <v>130</v>
      </c>
      <c r="D46" s="131">
        <v>32</v>
      </c>
      <c r="E46" s="131">
        <f t="shared" ref="E46" si="4">B46*C46*D46</f>
        <v>4160</v>
      </c>
      <c r="F46" s="132" t="s">
        <v>90</v>
      </c>
    </row>
    <row r="47" spans="1:6" s="133" customFormat="1" ht="45" x14ac:dyDescent="0.15">
      <c r="A47" s="128" t="s">
        <v>104</v>
      </c>
      <c r="B47" s="130">
        <v>1</v>
      </c>
      <c r="C47" s="130">
        <v>130</v>
      </c>
      <c r="D47" s="131">
        <v>7</v>
      </c>
      <c r="E47" s="131">
        <f t="shared" si="3"/>
        <v>910</v>
      </c>
      <c r="F47" s="140"/>
    </row>
    <row r="48" spans="1:6" ht="30" x14ac:dyDescent="0.15">
      <c r="A48" s="141" t="s">
        <v>105</v>
      </c>
      <c r="B48" s="39"/>
      <c r="C48" s="40"/>
      <c r="D48" s="36"/>
      <c r="E48" s="36"/>
      <c r="F48" s="41"/>
    </row>
    <row r="49" spans="1:6" ht="60" x14ac:dyDescent="0.15">
      <c r="A49" s="134" t="s">
        <v>95</v>
      </c>
      <c r="B49" s="129">
        <v>1</v>
      </c>
      <c r="C49" s="130">
        <v>130</v>
      </c>
      <c r="D49" s="131">
        <v>36</v>
      </c>
      <c r="E49" s="131">
        <f t="shared" si="3"/>
        <v>4680</v>
      </c>
      <c r="F49" s="132" t="s">
        <v>90</v>
      </c>
    </row>
    <row r="50" spans="1:6" x14ac:dyDescent="0.15">
      <c r="A50" s="38" t="s">
        <v>96</v>
      </c>
      <c r="B50" s="42"/>
      <c r="C50" s="40"/>
      <c r="D50" s="36"/>
      <c r="E50" s="36"/>
      <c r="F50" s="41"/>
    </row>
    <row r="51" spans="1:6" x14ac:dyDescent="0.15">
      <c r="A51" s="44"/>
      <c r="B51" s="45"/>
      <c r="C51" s="45"/>
      <c r="D51" s="36"/>
      <c r="E51" s="46"/>
      <c r="F51" s="47"/>
    </row>
    <row r="52" spans="1:6" x14ac:dyDescent="0.15">
      <c r="A52" s="48" t="s">
        <v>86</v>
      </c>
      <c r="B52" s="49"/>
      <c r="C52" s="49"/>
      <c r="D52" s="49"/>
      <c r="E52" s="49"/>
      <c r="F52" s="50"/>
    </row>
    <row r="53" spans="1:6" x14ac:dyDescent="0.15">
      <c r="A53" s="38" t="s">
        <v>98</v>
      </c>
      <c r="B53" s="39"/>
      <c r="C53" s="40"/>
      <c r="D53" s="36">
        <v>0</v>
      </c>
      <c r="E53" s="36">
        <f t="shared" ref="E53:E55" si="5">B53*C53*D53</f>
        <v>0</v>
      </c>
      <c r="F53" s="41"/>
    </row>
    <row r="54" spans="1:6" x14ac:dyDescent="0.15">
      <c r="A54" s="38" t="s">
        <v>99</v>
      </c>
      <c r="B54" s="39">
        <v>1</v>
      </c>
      <c r="C54" s="40">
        <v>3</v>
      </c>
      <c r="D54" s="36">
        <v>580</v>
      </c>
      <c r="E54" s="36">
        <f t="shared" si="5"/>
        <v>1740</v>
      </c>
      <c r="F54" s="41"/>
    </row>
    <row r="55" spans="1:6" ht="60" x14ac:dyDescent="0.15">
      <c r="A55" s="128" t="s">
        <v>97</v>
      </c>
      <c r="B55" s="129">
        <v>1</v>
      </c>
      <c r="C55" s="130">
        <v>130</v>
      </c>
      <c r="D55" s="131">
        <v>32</v>
      </c>
      <c r="E55" s="131">
        <f t="shared" si="5"/>
        <v>4160</v>
      </c>
      <c r="F55" s="132" t="s">
        <v>90</v>
      </c>
    </row>
    <row r="56" spans="1:6" x14ac:dyDescent="0.15">
      <c r="A56" s="38" t="s">
        <v>106</v>
      </c>
      <c r="B56" s="42"/>
      <c r="C56" s="40"/>
      <c r="D56" s="36"/>
      <c r="E56" s="36"/>
      <c r="F56" s="41"/>
    </row>
    <row r="57" spans="1:6" x14ac:dyDescent="0.15">
      <c r="A57" s="43"/>
      <c r="B57" s="39"/>
      <c r="C57" s="40"/>
      <c r="D57" s="36"/>
      <c r="E57" s="36"/>
      <c r="F57" s="41"/>
    </row>
    <row r="58" spans="1:6" x14ac:dyDescent="0.15">
      <c r="A58" s="168" t="s">
        <v>21</v>
      </c>
      <c r="B58" s="51"/>
      <c r="C58" s="51"/>
      <c r="D58" s="51"/>
      <c r="E58" s="188">
        <f>SUM(E23:E55)</f>
        <v>40522</v>
      </c>
      <c r="F58" s="52"/>
    </row>
    <row r="59" spans="1:6" x14ac:dyDescent="0.15">
      <c r="A59" s="169"/>
      <c r="B59" s="53"/>
      <c r="C59" s="53"/>
      <c r="D59" s="53"/>
      <c r="E59" s="189"/>
      <c r="F59" s="54"/>
    </row>
    <row r="60" spans="1:6" x14ac:dyDescent="0.15">
      <c r="A60" s="55"/>
      <c r="B60" s="56"/>
      <c r="C60" s="56"/>
      <c r="D60" s="56"/>
      <c r="E60" s="57"/>
      <c r="F60" s="56"/>
    </row>
    <row r="61" spans="1:6" x14ac:dyDescent="0.15">
      <c r="A61" s="58"/>
      <c r="B61" s="59"/>
      <c r="C61" s="60"/>
      <c r="D61" s="61"/>
      <c r="E61" s="62"/>
      <c r="F61" s="63"/>
    </row>
    <row r="62" spans="1:6" x14ac:dyDescent="0.15">
      <c r="A62" s="55"/>
      <c r="B62" s="73"/>
      <c r="C62" s="74"/>
      <c r="D62" s="75"/>
      <c r="E62" s="76"/>
      <c r="F62" s="77"/>
    </row>
    <row r="63" spans="1:6" ht="30" x14ac:dyDescent="0.15">
      <c r="A63" s="37" t="s">
        <v>23</v>
      </c>
      <c r="B63" s="33" t="s">
        <v>19</v>
      </c>
      <c r="C63" s="34" t="s">
        <v>14</v>
      </c>
      <c r="D63" s="35" t="s">
        <v>15</v>
      </c>
      <c r="E63" s="33" t="s">
        <v>16</v>
      </c>
      <c r="F63" s="33" t="s">
        <v>17</v>
      </c>
    </row>
    <row r="64" spans="1:6" x14ac:dyDescent="0.15">
      <c r="A64" s="191" t="s">
        <v>24</v>
      </c>
      <c r="B64" s="191"/>
      <c r="C64" s="191"/>
      <c r="D64" s="191"/>
      <c r="E64" s="191"/>
      <c r="F64" s="191"/>
    </row>
    <row r="65" spans="1:6" x14ac:dyDescent="0.15">
      <c r="A65" s="68" t="s">
        <v>25</v>
      </c>
      <c r="B65" s="69"/>
      <c r="C65" s="69"/>
      <c r="D65" s="70"/>
      <c r="E65" s="69"/>
      <c r="F65" s="71"/>
    </row>
    <row r="66" spans="1:6" x14ac:dyDescent="0.15">
      <c r="A66" s="64" t="s">
        <v>26</v>
      </c>
      <c r="B66" s="65"/>
      <c r="C66" s="65"/>
      <c r="D66" s="66"/>
      <c r="E66" s="65"/>
      <c r="F66" s="67"/>
    </row>
    <row r="67" spans="1:6" x14ac:dyDescent="0.15">
      <c r="A67" s="38" t="s">
        <v>22</v>
      </c>
      <c r="B67" s="42">
        <v>0</v>
      </c>
      <c r="C67" s="40">
        <v>1</v>
      </c>
      <c r="D67" s="72">
        <v>250</v>
      </c>
      <c r="E67" s="36">
        <f t="shared" ref="E67" si="6">B67*C67*D67</f>
        <v>0</v>
      </c>
      <c r="F67" s="41"/>
    </row>
    <row r="68" spans="1:6" x14ac:dyDescent="0.15">
      <c r="A68" s="38"/>
      <c r="B68" s="42"/>
      <c r="C68" s="40"/>
      <c r="D68" s="72"/>
      <c r="E68" s="36"/>
      <c r="F68" s="41"/>
    </row>
    <row r="69" spans="1:6" x14ac:dyDescent="0.15">
      <c r="A69" s="168" t="s">
        <v>27</v>
      </c>
      <c r="B69" s="51"/>
      <c r="C69" s="51"/>
      <c r="D69" s="51"/>
      <c r="E69" s="188">
        <f>SUM(E65:E68)</f>
        <v>0</v>
      </c>
      <c r="F69" s="52"/>
    </row>
    <row r="70" spans="1:6" x14ac:dyDescent="0.15">
      <c r="A70" s="190"/>
      <c r="B70" s="53"/>
      <c r="C70" s="53"/>
      <c r="D70" s="53"/>
      <c r="E70" s="189"/>
      <c r="F70" s="54"/>
    </row>
    <row r="74" spans="1:6" ht="30" x14ac:dyDescent="0.15">
      <c r="A74" s="78" t="s">
        <v>28</v>
      </c>
      <c r="B74" s="79"/>
      <c r="C74" s="80"/>
      <c r="D74" s="81" t="s">
        <v>29</v>
      </c>
      <c r="E74" s="82" t="s">
        <v>30</v>
      </c>
      <c r="F74" s="83"/>
    </row>
    <row r="75" spans="1:6" x14ac:dyDescent="0.15">
      <c r="A75" s="192" t="s">
        <v>18</v>
      </c>
      <c r="B75" s="88"/>
      <c r="C75" s="89"/>
      <c r="D75" s="90"/>
      <c r="E75" s="173">
        <f>E58</f>
        <v>40522</v>
      </c>
      <c r="F75" s="91"/>
    </row>
    <row r="76" spans="1:6" x14ac:dyDescent="0.15">
      <c r="A76" s="192"/>
      <c r="B76" s="84"/>
      <c r="C76" s="85"/>
      <c r="D76" s="86"/>
      <c r="E76" s="173"/>
      <c r="F76" s="87"/>
    </row>
    <row r="77" spans="1:6" x14ac:dyDescent="0.15">
      <c r="A77" s="192" t="s">
        <v>23</v>
      </c>
      <c r="B77" s="88"/>
      <c r="C77" s="89"/>
      <c r="D77" s="90"/>
      <c r="E77" s="173">
        <f>E69</f>
        <v>0</v>
      </c>
      <c r="F77" s="91"/>
    </row>
    <row r="78" spans="1:6" x14ac:dyDescent="0.15">
      <c r="A78" s="192"/>
      <c r="B78" s="84"/>
      <c r="C78" s="85"/>
      <c r="D78" s="86"/>
      <c r="E78" s="173"/>
      <c r="F78" s="87"/>
    </row>
    <row r="79" spans="1:6" x14ac:dyDescent="0.15">
      <c r="A79" s="168" t="s">
        <v>31</v>
      </c>
      <c r="B79" s="92"/>
      <c r="C79" s="93"/>
      <c r="D79" s="94"/>
      <c r="E79" s="174">
        <f>SUM(E75:E78)</f>
        <v>40522</v>
      </c>
      <c r="F79" s="95"/>
    </row>
    <row r="80" spans="1:6" x14ac:dyDescent="0.15">
      <c r="A80" s="168"/>
      <c r="B80" s="96"/>
      <c r="C80" s="97"/>
      <c r="D80" s="98"/>
      <c r="E80" s="174"/>
      <c r="F80" s="99"/>
    </row>
    <row r="81" spans="1:15" x14ac:dyDescent="0.15">
      <c r="A81" s="184" t="s">
        <v>32</v>
      </c>
      <c r="B81" s="186" t="s">
        <v>33</v>
      </c>
      <c r="C81" s="186"/>
      <c r="D81" s="186">
        <v>130</v>
      </c>
      <c r="E81" s="179">
        <f>E79/D81</f>
        <v>311.7076923076923</v>
      </c>
      <c r="F81" s="100"/>
    </row>
    <row r="82" spans="1:15" x14ac:dyDescent="0.15">
      <c r="A82" s="185"/>
      <c r="B82" s="187"/>
      <c r="C82" s="187"/>
      <c r="D82" s="187"/>
      <c r="E82" s="180"/>
      <c r="F82" s="101"/>
    </row>
    <row r="85" spans="1:15" x14ac:dyDescent="0.15">
      <c r="H85" s="19"/>
    </row>
    <row r="86" spans="1:15" s="102" customFormat="1" ht="16" x14ac:dyDescent="0.15">
      <c r="A86" s="182" t="s">
        <v>34</v>
      </c>
      <c r="B86" s="182"/>
      <c r="C86" s="182"/>
      <c r="D86" s="182"/>
      <c r="E86" s="182"/>
      <c r="F86" s="182"/>
      <c r="H86" s="103"/>
      <c r="J86" s="153"/>
      <c r="K86" s="153"/>
      <c r="L86" s="153"/>
      <c r="M86" s="153"/>
      <c r="N86" s="153"/>
      <c r="O86" s="153"/>
    </row>
    <row r="87" spans="1:15" s="102" customFormat="1" ht="12" x14ac:dyDescent="0.15">
      <c r="A87" s="151" t="s">
        <v>35</v>
      </c>
      <c r="B87" s="151"/>
      <c r="C87" s="151"/>
      <c r="D87" s="151"/>
      <c r="E87" s="151"/>
      <c r="F87" s="151"/>
      <c r="H87" s="103"/>
    </row>
    <row r="88" spans="1:15" s="102" customFormat="1" ht="12" x14ac:dyDescent="0.15">
      <c r="A88" s="151" t="s">
        <v>36</v>
      </c>
      <c r="B88" s="151"/>
      <c r="C88" s="151"/>
      <c r="D88" s="151"/>
      <c r="E88" s="151"/>
      <c r="F88" s="151"/>
      <c r="H88" s="103"/>
    </row>
    <row r="89" spans="1:15" s="106" customFormat="1" ht="12" x14ac:dyDescent="0.15">
      <c r="A89" s="104" t="s">
        <v>37</v>
      </c>
      <c r="B89" s="105"/>
      <c r="C89" s="105"/>
      <c r="D89" s="105"/>
      <c r="E89" s="105"/>
      <c r="F89" s="105"/>
      <c r="H89" s="103"/>
    </row>
    <row r="90" spans="1:15" s="106" customFormat="1" x14ac:dyDescent="0.15">
      <c r="A90" s="107" t="s">
        <v>38</v>
      </c>
      <c r="C90" s="125" t="s">
        <v>39</v>
      </c>
      <c r="D90" s="108"/>
      <c r="E90" s="105"/>
      <c r="F90" s="105"/>
      <c r="H90" s="103"/>
    </row>
    <row r="91" spans="1:15" s="106" customFormat="1" x14ac:dyDescent="0.15">
      <c r="A91" s="107" t="s">
        <v>40</v>
      </c>
      <c r="C91" s="125" t="s">
        <v>39</v>
      </c>
      <c r="D91" s="108"/>
      <c r="E91" s="105"/>
      <c r="F91" s="105"/>
      <c r="H91" s="103"/>
    </row>
    <row r="92" spans="1:15" s="106" customFormat="1" ht="13" x14ac:dyDescent="0.15">
      <c r="A92" s="107"/>
      <c r="B92" s="108"/>
      <c r="C92" s="108"/>
      <c r="D92" s="108"/>
      <c r="E92" s="105"/>
      <c r="F92" s="105"/>
      <c r="H92" s="103"/>
    </row>
    <row r="93" spans="1:15" s="106" customFormat="1" ht="12" x14ac:dyDescent="0.15">
      <c r="A93" s="183" t="s">
        <v>41</v>
      </c>
      <c r="B93" s="183"/>
      <c r="C93" s="183"/>
      <c r="D93" s="183"/>
      <c r="E93" s="183"/>
      <c r="F93" s="183"/>
      <c r="H93" s="103"/>
    </row>
    <row r="94" spans="1:15" s="106" customFormat="1" x14ac:dyDescent="0.15">
      <c r="A94" s="126" t="s">
        <v>39</v>
      </c>
      <c r="B94" s="109"/>
      <c r="C94" s="109"/>
      <c r="D94" s="109"/>
      <c r="E94" s="109"/>
      <c r="F94" s="109"/>
      <c r="H94" s="103"/>
    </row>
    <row r="95" spans="1:15" s="106" customFormat="1" ht="13" x14ac:dyDescent="0.15">
      <c r="A95" s="110"/>
      <c r="B95" s="109"/>
      <c r="C95" s="109"/>
      <c r="D95" s="109"/>
      <c r="E95" s="109"/>
      <c r="F95" s="109"/>
      <c r="H95" s="103"/>
    </row>
    <row r="96" spans="1:15" s="102" customFormat="1" ht="12" x14ac:dyDescent="0.15">
      <c r="A96" s="151" t="s">
        <v>42</v>
      </c>
      <c r="B96" s="151"/>
      <c r="C96" s="151"/>
      <c r="D96" s="151"/>
      <c r="E96" s="151"/>
      <c r="F96" s="151"/>
      <c r="H96" s="103"/>
    </row>
    <row r="97" spans="1:8" s="102" customFormat="1" ht="12" x14ac:dyDescent="0.15">
      <c r="A97" s="110"/>
      <c r="B97" s="110"/>
      <c r="C97" s="110"/>
      <c r="D97" s="110"/>
      <c r="E97" s="110"/>
      <c r="F97" s="110"/>
      <c r="H97" s="103"/>
    </row>
    <row r="98" spans="1:8" s="102" customFormat="1" ht="12" x14ac:dyDescent="0.15">
      <c r="A98" s="154" t="s">
        <v>43</v>
      </c>
      <c r="B98" s="154"/>
      <c r="C98" s="154"/>
      <c r="D98" s="154"/>
      <c r="E98" s="154"/>
      <c r="F98" s="154"/>
      <c r="H98" s="103"/>
    </row>
    <row r="99" spans="1:8" s="102" customFormat="1" ht="12" x14ac:dyDescent="0.15">
      <c r="A99" s="151" t="s">
        <v>44</v>
      </c>
      <c r="B99" s="151"/>
      <c r="C99" s="151"/>
      <c r="D99" s="151"/>
      <c r="E99" s="151"/>
      <c r="F99" s="151"/>
      <c r="H99" s="103"/>
    </row>
    <row r="100" spans="1:8" s="102" customFormat="1" ht="13" x14ac:dyDescent="0.15">
      <c r="A100" s="111" t="s">
        <v>45</v>
      </c>
      <c r="B100" s="110"/>
      <c r="C100" s="110"/>
      <c r="D100" s="110"/>
      <c r="E100" s="110"/>
      <c r="F100" s="110"/>
      <c r="H100" s="103"/>
    </row>
    <row r="101" spans="1:8" s="102" customFormat="1" ht="13" x14ac:dyDescent="0.15">
      <c r="A101" s="106" t="s">
        <v>46</v>
      </c>
      <c r="H101" s="103"/>
    </row>
    <row r="102" spans="1:8" s="102" customFormat="1" ht="13" x14ac:dyDescent="0.15">
      <c r="A102" s="106" t="s">
        <v>47</v>
      </c>
      <c r="H102" s="103"/>
    </row>
    <row r="103" spans="1:8" s="102" customFormat="1" ht="13" x14ac:dyDescent="0.15">
      <c r="A103" s="106" t="s">
        <v>48</v>
      </c>
      <c r="H103" s="103"/>
    </row>
    <row r="104" spans="1:8" s="102" customFormat="1" ht="12" x14ac:dyDescent="0.15">
      <c r="A104" s="152"/>
      <c r="B104" s="153"/>
      <c r="C104" s="153"/>
      <c r="D104" s="153"/>
      <c r="E104" s="153"/>
      <c r="F104" s="153"/>
      <c r="H104" s="103"/>
    </row>
    <row r="105" spans="1:8" s="102" customFormat="1" ht="12" x14ac:dyDescent="0.15">
      <c r="A105" s="151" t="s">
        <v>49</v>
      </c>
      <c r="B105" s="151"/>
      <c r="C105" s="151"/>
      <c r="D105" s="151"/>
      <c r="E105" s="151"/>
      <c r="F105" s="151"/>
      <c r="H105" s="103"/>
    </row>
    <row r="106" spans="1:8" s="102" customFormat="1" ht="12" x14ac:dyDescent="0.15">
      <c r="A106" s="112"/>
      <c r="B106" s="112"/>
      <c r="C106" s="112"/>
      <c r="D106" s="112"/>
      <c r="E106" s="112"/>
      <c r="F106" s="112"/>
      <c r="H106" s="103"/>
    </row>
    <row r="107" spans="1:8" s="102" customFormat="1" ht="12" x14ac:dyDescent="0.15">
      <c r="A107" s="151" t="s">
        <v>50</v>
      </c>
      <c r="B107" s="154"/>
      <c r="C107" s="154"/>
      <c r="D107" s="154"/>
      <c r="E107" s="154"/>
      <c r="F107" s="154"/>
      <c r="H107" s="103"/>
    </row>
    <row r="108" spans="1:8" s="102" customFormat="1" ht="12" x14ac:dyDescent="0.15">
      <c r="A108" s="155" t="s">
        <v>51</v>
      </c>
      <c r="B108" s="155"/>
      <c r="C108" s="155"/>
      <c r="D108" s="155"/>
      <c r="E108" s="155"/>
      <c r="F108" s="155"/>
      <c r="H108" s="103"/>
    </row>
    <row r="109" spans="1:8" s="102" customFormat="1" ht="12" x14ac:dyDescent="0.15">
      <c r="A109" s="155" t="s">
        <v>52</v>
      </c>
      <c r="B109" s="155"/>
      <c r="C109" s="155"/>
      <c r="D109" s="155"/>
      <c r="E109" s="155"/>
      <c r="F109" s="155"/>
      <c r="H109" s="103"/>
    </row>
    <row r="110" spans="1:8" s="102" customFormat="1" ht="12" x14ac:dyDescent="0.15">
      <c r="A110" s="181" t="s">
        <v>53</v>
      </c>
      <c r="B110" s="181"/>
      <c r="C110" s="181"/>
      <c r="D110" s="181"/>
      <c r="E110" s="181"/>
      <c r="F110" s="181"/>
      <c r="H110" s="103"/>
    </row>
    <row r="111" spans="1:8" s="102" customFormat="1" ht="12" x14ac:dyDescent="0.15">
      <c r="A111" s="176" t="s">
        <v>54</v>
      </c>
      <c r="B111" s="176"/>
      <c r="C111" s="176"/>
      <c r="D111" s="176"/>
      <c r="E111" s="176"/>
      <c r="F111" s="176"/>
      <c r="H111" s="103"/>
    </row>
    <row r="112" spans="1:8" s="102" customFormat="1" ht="12" x14ac:dyDescent="0.15">
      <c r="A112" s="151"/>
      <c r="B112" s="151"/>
      <c r="C112" s="151"/>
      <c r="D112" s="151"/>
      <c r="E112" s="151"/>
      <c r="F112" s="151"/>
      <c r="H112" s="103"/>
    </row>
    <row r="113" spans="1:11" s="102" customFormat="1" ht="12" x14ac:dyDescent="0.15">
      <c r="A113" s="151"/>
      <c r="B113" s="151"/>
      <c r="C113" s="151"/>
      <c r="D113" s="151"/>
      <c r="E113" s="151"/>
      <c r="F113" s="151"/>
      <c r="H113" s="103"/>
    </row>
    <row r="114" spans="1:11" s="102" customFormat="1" ht="12" x14ac:dyDescent="0.15">
      <c r="H114" s="103"/>
    </row>
    <row r="115" spans="1:11" s="102" customFormat="1" ht="12" x14ac:dyDescent="0.15">
      <c r="A115" s="175"/>
      <c r="B115" s="175"/>
      <c r="C115" s="175"/>
      <c r="D115" s="175"/>
      <c r="E115" s="175"/>
      <c r="F115" s="175"/>
      <c r="H115" s="103"/>
    </row>
    <row r="116" spans="1:11" s="102" customFormat="1" ht="12" x14ac:dyDescent="0.15">
      <c r="A116" s="175" t="s">
        <v>55</v>
      </c>
      <c r="B116" s="175"/>
      <c r="C116" s="175"/>
      <c r="D116" s="175"/>
      <c r="E116" s="175"/>
      <c r="F116" s="175"/>
      <c r="H116" s="103"/>
    </row>
    <row r="117" spans="1:11" s="102" customFormat="1" ht="12" x14ac:dyDescent="0.15">
      <c r="A117" s="176" t="s">
        <v>56</v>
      </c>
      <c r="B117" s="176"/>
      <c r="C117" s="176"/>
      <c r="D117" s="176"/>
      <c r="E117" s="176"/>
      <c r="F117" s="176"/>
    </row>
    <row r="118" spans="1:11" s="102" customFormat="1" ht="12" x14ac:dyDescent="0.15">
      <c r="A118" s="176" t="s">
        <v>57</v>
      </c>
      <c r="B118" s="176"/>
      <c r="C118" s="176"/>
      <c r="D118" s="176"/>
      <c r="E118" s="176"/>
      <c r="F118" s="176"/>
      <c r="H118" s="103"/>
    </row>
    <row r="119" spans="1:11" s="102" customFormat="1" ht="12" x14ac:dyDescent="0.15">
      <c r="A119" s="176" t="s">
        <v>58</v>
      </c>
      <c r="B119" s="176"/>
      <c r="C119" s="176"/>
      <c r="D119" s="176"/>
      <c r="E119" s="176"/>
      <c r="F119" s="176"/>
      <c r="H119" s="103"/>
    </row>
    <row r="120" spans="1:11" s="102" customFormat="1" ht="12" x14ac:dyDescent="0.15">
      <c r="A120" s="151"/>
      <c r="B120" s="151"/>
      <c r="C120" s="151"/>
      <c r="D120" s="151"/>
      <c r="E120" s="151"/>
      <c r="F120" s="151"/>
      <c r="G120" s="113"/>
      <c r="H120" s="103"/>
    </row>
    <row r="121" spans="1:11" s="102" customFormat="1" ht="12" x14ac:dyDescent="0.15">
      <c r="A121" s="154" t="s">
        <v>59</v>
      </c>
      <c r="B121" s="154"/>
      <c r="C121" s="154"/>
      <c r="D121" s="154"/>
      <c r="E121" s="154"/>
      <c r="F121" s="154"/>
      <c r="H121" s="103"/>
    </row>
    <row r="122" spans="1:11" s="102" customFormat="1" ht="12" x14ac:dyDescent="0.15">
      <c r="A122" s="151" t="s">
        <v>60</v>
      </c>
      <c r="B122" s="151"/>
      <c r="C122" s="151"/>
      <c r="D122" s="151"/>
      <c r="E122" s="151"/>
      <c r="F122" s="151"/>
      <c r="H122" s="103"/>
    </row>
    <row r="123" spans="1:11" s="102" customFormat="1" ht="12" x14ac:dyDescent="0.15">
      <c r="A123" s="151" t="s">
        <v>61</v>
      </c>
      <c r="B123" s="151"/>
      <c r="C123" s="151"/>
      <c r="D123" s="151"/>
      <c r="E123" s="151"/>
      <c r="F123" s="151"/>
      <c r="G123" s="114"/>
      <c r="H123" s="115"/>
      <c r="I123" s="116"/>
      <c r="J123" s="116"/>
      <c r="K123" s="116"/>
    </row>
    <row r="124" spans="1:11" s="102" customFormat="1" ht="12" x14ac:dyDescent="0.15">
      <c r="A124" s="151" t="s">
        <v>62</v>
      </c>
      <c r="B124" s="151"/>
      <c r="C124" s="151"/>
      <c r="D124" s="151"/>
      <c r="E124" s="151"/>
      <c r="F124" s="151"/>
      <c r="G124" s="114"/>
      <c r="H124" s="115"/>
      <c r="I124" s="116"/>
      <c r="J124" s="116"/>
      <c r="K124" s="116"/>
    </row>
    <row r="125" spans="1:11" s="102" customFormat="1" ht="12" x14ac:dyDescent="0.15">
      <c r="A125" s="151" t="s">
        <v>63</v>
      </c>
      <c r="B125" s="151"/>
      <c r="C125" s="151"/>
      <c r="D125" s="151"/>
      <c r="E125" s="151"/>
      <c r="F125" s="151"/>
      <c r="G125" s="114"/>
      <c r="H125" s="115"/>
      <c r="I125" s="116"/>
      <c r="J125" s="116"/>
      <c r="K125" s="116"/>
    </row>
    <row r="126" spans="1:11" s="102" customFormat="1" ht="12" x14ac:dyDescent="0.15">
      <c r="A126" s="151" t="s">
        <v>64</v>
      </c>
      <c r="B126" s="151"/>
      <c r="C126" s="151"/>
      <c r="D126" s="151"/>
      <c r="E126" s="151"/>
      <c r="F126" s="151"/>
      <c r="G126" s="114"/>
      <c r="H126" s="115"/>
      <c r="I126" s="116"/>
      <c r="J126" s="116"/>
      <c r="K126" s="116"/>
    </row>
    <row r="127" spans="1:11" s="102" customFormat="1" ht="12" x14ac:dyDescent="0.15">
      <c r="A127" s="151" t="s">
        <v>65</v>
      </c>
      <c r="B127" s="151"/>
      <c r="C127" s="151"/>
      <c r="D127" s="151"/>
      <c r="E127" s="151"/>
      <c r="F127" s="151"/>
      <c r="H127" s="103"/>
    </row>
    <row r="128" spans="1:11" s="102" customFormat="1" ht="12" x14ac:dyDescent="0.15">
      <c r="A128" s="151" t="s">
        <v>66</v>
      </c>
      <c r="B128" s="151"/>
      <c r="C128" s="151"/>
      <c r="D128" s="151"/>
      <c r="E128" s="151"/>
      <c r="F128" s="151"/>
      <c r="H128" s="103"/>
    </row>
    <row r="129" spans="1:8" s="102" customFormat="1" ht="12" x14ac:dyDescent="0.15">
      <c r="A129" s="175"/>
      <c r="B129" s="175"/>
      <c r="C129" s="175"/>
      <c r="D129" s="175"/>
      <c r="E129" s="175"/>
      <c r="F129" s="175"/>
      <c r="H129" s="103"/>
    </row>
    <row r="130" spans="1:8" s="116" customFormat="1" ht="12" x14ac:dyDescent="0.15">
      <c r="A130" s="117" t="s">
        <v>67</v>
      </c>
      <c r="B130" s="118"/>
      <c r="C130" s="119"/>
      <c r="H130" s="120"/>
    </row>
    <row r="131" spans="1:8" s="116" customFormat="1" ht="12" x14ac:dyDescent="0.15">
      <c r="A131" s="151" t="s">
        <v>68</v>
      </c>
      <c r="B131" s="151"/>
      <c r="C131" s="151"/>
      <c r="D131" s="151"/>
      <c r="E131" s="151"/>
      <c r="F131" s="151"/>
      <c r="H131" s="120"/>
    </row>
    <row r="132" spans="1:8" s="116" customFormat="1" ht="12" x14ac:dyDescent="0.15">
      <c r="A132" s="151" t="s">
        <v>69</v>
      </c>
      <c r="B132" s="151"/>
      <c r="C132" s="151"/>
      <c r="D132" s="151"/>
      <c r="E132" s="151"/>
      <c r="F132" s="151"/>
      <c r="H132" s="120"/>
    </row>
    <row r="133" spans="1:8" s="116" customFormat="1" ht="12" x14ac:dyDescent="0.15">
      <c r="A133" s="121"/>
      <c r="B133" s="118"/>
      <c r="C133" s="119"/>
      <c r="H133" s="120"/>
    </row>
    <row r="134" spans="1:8" s="102" customFormat="1" ht="12" x14ac:dyDescent="0.15">
      <c r="A134" s="154" t="s">
        <v>70</v>
      </c>
      <c r="B134" s="154"/>
      <c r="C134" s="154"/>
      <c r="D134" s="154"/>
      <c r="E134" s="154"/>
      <c r="F134" s="154"/>
      <c r="H134" s="103"/>
    </row>
    <row r="135" spans="1:8" s="102" customFormat="1" ht="12" x14ac:dyDescent="0.15">
      <c r="A135" s="155" t="s">
        <v>71</v>
      </c>
      <c r="B135" s="155"/>
      <c r="C135" s="155"/>
      <c r="D135" s="155"/>
      <c r="E135" s="155"/>
      <c r="F135" s="155"/>
      <c r="H135" s="103"/>
    </row>
    <row r="136" spans="1:8" s="102" customFormat="1" ht="12" x14ac:dyDescent="0.15">
      <c r="A136" s="110"/>
      <c r="B136" s="110"/>
      <c r="C136" s="110"/>
      <c r="D136" s="110"/>
      <c r="E136" s="110"/>
      <c r="F136" s="110"/>
      <c r="H136" s="103"/>
    </row>
    <row r="137" spans="1:8" s="102" customFormat="1" ht="12" x14ac:dyDescent="0.15">
      <c r="A137" s="175" t="s">
        <v>72</v>
      </c>
      <c r="B137" s="175"/>
      <c r="C137" s="175"/>
      <c r="D137" s="175"/>
      <c r="E137" s="175"/>
      <c r="F137" s="175"/>
      <c r="H137" s="103"/>
    </row>
    <row r="138" spans="1:8" s="102" customFormat="1" ht="12" x14ac:dyDescent="0.15">
      <c r="A138" s="151"/>
      <c r="B138" s="151"/>
      <c r="C138" s="151"/>
      <c r="D138" s="151"/>
      <c r="E138" s="151"/>
      <c r="F138" s="151"/>
      <c r="H138" s="103"/>
    </row>
    <row r="139" spans="1:8" s="123" customFormat="1" ht="13" x14ac:dyDescent="0.15">
      <c r="A139" s="122" t="s">
        <v>73</v>
      </c>
      <c r="B139" s="122"/>
      <c r="C139" s="122"/>
      <c r="D139" s="122"/>
      <c r="E139" s="175" t="s">
        <v>74</v>
      </c>
      <c r="F139" s="175"/>
      <c r="H139" s="124"/>
    </row>
    <row r="140" spans="1:8" s="123" customFormat="1" ht="13" x14ac:dyDescent="0.15">
      <c r="A140" s="111" t="s">
        <v>75</v>
      </c>
      <c r="B140" s="122"/>
      <c r="C140" s="122"/>
      <c r="D140" s="122"/>
      <c r="E140" s="178" t="s">
        <v>76</v>
      </c>
      <c r="F140" s="178"/>
      <c r="H140" s="124"/>
    </row>
    <row r="141" spans="1:8" s="123" customFormat="1" ht="12" x14ac:dyDescent="0.15">
      <c r="A141" s="122"/>
      <c r="B141" s="122"/>
      <c r="C141" s="122"/>
      <c r="D141" s="122"/>
      <c r="E141" s="122"/>
      <c r="F141" s="122"/>
      <c r="H141" s="124"/>
    </row>
    <row r="142" spans="1:8" s="123" customFormat="1" ht="12" x14ac:dyDescent="0.15">
      <c r="A142" s="122"/>
      <c r="B142" s="122"/>
      <c r="C142" s="122"/>
      <c r="D142" s="122"/>
      <c r="E142" s="122"/>
      <c r="F142" s="122"/>
      <c r="H142" s="124"/>
    </row>
    <row r="143" spans="1:8" s="123" customFormat="1" ht="13" x14ac:dyDescent="0.15">
      <c r="A143" s="122" t="s">
        <v>77</v>
      </c>
      <c r="B143" s="122"/>
      <c r="C143" s="122"/>
      <c r="D143" s="122"/>
      <c r="E143" s="177" t="s">
        <v>77</v>
      </c>
      <c r="F143" s="177"/>
      <c r="H143" s="124"/>
    </row>
  </sheetData>
  <mergeCells count="71">
    <mergeCell ref="A21:F21"/>
    <mergeCell ref="A40:F40"/>
    <mergeCell ref="A119:F119"/>
    <mergeCell ref="E81:E82"/>
    <mergeCell ref="A112:F112"/>
    <mergeCell ref="A96:F96"/>
    <mergeCell ref="A98:F98"/>
    <mergeCell ref="A99:F99"/>
    <mergeCell ref="A110:F110"/>
    <mergeCell ref="A111:F111"/>
    <mergeCell ref="A88:F88"/>
    <mergeCell ref="A86:F86"/>
    <mergeCell ref="A93:F93"/>
    <mergeCell ref="A81:A82"/>
    <mergeCell ref="D81:D82"/>
    <mergeCell ref="B81:C82"/>
    <mergeCell ref="E143:F143"/>
    <mergeCell ref="A131:F131"/>
    <mergeCell ref="A132:F132"/>
    <mergeCell ref="A134:F134"/>
    <mergeCell ref="A135:F135"/>
    <mergeCell ref="A137:F137"/>
    <mergeCell ref="A138:F138"/>
    <mergeCell ref="E139:F139"/>
    <mergeCell ref="E140:F140"/>
    <mergeCell ref="C17:F17"/>
    <mergeCell ref="A18:B18"/>
    <mergeCell ref="A129:F129"/>
    <mergeCell ref="A120:F120"/>
    <mergeCell ref="A121:F121"/>
    <mergeCell ref="A122:F122"/>
    <mergeCell ref="A128:F128"/>
    <mergeCell ref="A123:F123"/>
    <mergeCell ref="A124:F124"/>
    <mergeCell ref="A125:F125"/>
    <mergeCell ref="A126:F126"/>
    <mergeCell ref="A127:F127"/>
    <mergeCell ref="A115:F115"/>
    <mergeCell ref="A116:F116"/>
    <mergeCell ref="A117:F117"/>
    <mergeCell ref="A118:F118"/>
    <mergeCell ref="J86:O86"/>
    <mergeCell ref="A87:F87"/>
    <mergeCell ref="A58:A59"/>
    <mergeCell ref="A22:F22"/>
    <mergeCell ref="E75:E76"/>
    <mergeCell ref="E77:E78"/>
    <mergeCell ref="E79:E80"/>
    <mergeCell ref="E69:E70"/>
    <mergeCell ref="A69:A70"/>
    <mergeCell ref="A64:F64"/>
    <mergeCell ref="A75:A76"/>
    <mergeCell ref="A77:A78"/>
    <mergeCell ref="A79:A80"/>
    <mergeCell ref="E58:E59"/>
    <mergeCell ref="A1:G1"/>
    <mergeCell ref="C18:F18"/>
    <mergeCell ref="A113:F113"/>
    <mergeCell ref="A104:F104"/>
    <mergeCell ref="A105:F105"/>
    <mergeCell ref="A107:F107"/>
    <mergeCell ref="A108:F108"/>
    <mergeCell ref="A109:F109"/>
    <mergeCell ref="A5:F5"/>
    <mergeCell ref="B6:F6"/>
    <mergeCell ref="B7:F7"/>
    <mergeCell ref="B8:F8"/>
    <mergeCell ref="A16:F16"/>
    <mergeCell ref="B9:F9"/>
    <mergeCell ref="B10:F10"/>
    <mergeCell ref="A17:B17"/>
  </mergeCells>
  <hyperlinks>
    <hyperlink ref="C90" r:id="rId1" xr:uid="{FDCDE27A-C64F-46F8-B9D1-51DED3334968}"/>
    <hyperlink ref="C91" r:id="rId2" xr:uid="{A4DC8AB8-9D68-4B61-882D-820A25963C05}"/>
    <hyperlink ref="A94" r:id="rId3" xr:uid="{78E6BAFF-F294-43A3-A991-32591227A3EE}"/>
  </hyperlinks>
  <pageMargins left="0.25" right="0.25" top="0.75" bottom="0.75" header="0.3" footer="0.3"/>
  <pageSetup paperSize="9" scale="62" orientation="portrait" r:id="rId4"/>
  <headerFooter>
    <oddFooter xml:space="preserve">&amp;LLiberty International Tourism Group&amp;C&amp;P
</oddFooter>
  </headerFooter>
  <rowBreaks count="2" manualBreakCount="2">
    <brk id="60" max="8" man="1"/>
    <brk id="84" max="8" man="1"/>
  </rowBreaks>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anchor moveWithCells="1">
                  <from>
                    <xdr:col>0</xdr:col>
                    <xdr:colOff>101600</xdr:colOff>
                    <xdr:row>13</xdr:row>
                    <xdr:rowOff>0</xdr:rowOff>
                  </from>
                  <to>
                    <xdr:col>0</xdr:col>
                    <xdr:colOff>914400</xdr:colOff>
                    <xdr:row>14</xdr:row>
                    <xdr:rowOff>38100</xdr:rowOff>
                  </to>
                </anchor>
              </controlPr>
            </control>
          </mc:Choice>
        </mc:AlternateContent>
        <mc:AlternateContent xmlns:mc="http://schemas.openxmlformats.org/markup-compatibility/2006">
          <mc:Choice Requires="x14">
            <control shapeId="1026" r:id="rId8" name="Check Box 2">
              <controlPr defaultSize="0" autoFill="0" autoLine="0" autoPict="0">
                <anchor moveWithCells="1">
                  <from>
                    <xdr:col>0</xdr:col>
                    <xdr:colOff>101600</xdr:colOff>
                    <xdr:row>16</xdr:row>
                    <xdr:rowOff>177800</xdr:rowOff>
                  </from>
                  <to>
                    <xdr:col>0</xdr:col>
                    <xdr:colOff>927100</xdr:colOff>
                    <xdr:row>17</xdr:row>
                    <xdr:rowOff>203200</xdr:rowOff>
                  </to>
                </anchor>
              </controlPr>
            </control>
          </mc:Choice>
        </mc:AlternateContent>
        <mc:AlternateContent xmlns:mc="http://schemas.openxmlformats.org/markup-compatibility/2006">
          <mc:Choice Requires="x14">
            <control shapeId="1027" r:id="rId9" name="Check Box 3">
              <controlPr defaultSize="0" autoFill="0" autoLine="0" autoPict="0">
                <anchor moveWithCells="1">
                  <from>
                    <xdr:col>0</xdr:col>
                    <xdr:colOff>101600</xdr:colOff>
                    <xdr:row>15</xdr:row>
                    <xdr:rowOff>177800</xdr:rowOff>
                  </from>
                  <to>
                    <xdr:col>0</xdr:col>
                    <xdr:colOff>927100</xdr:colOff>
                    <xdr:row>16</xdr:row>
                    <xdr:rowOff>203200</xdr:rowOff>
                  </to>
                </anchor>
              </controlPr>
            </control>
          </mc:Choice>
        </mc:AlternateContent>
        <mc:AlternateContent xmlns:mc="http://schemas.openxmlformats.org/markup-compatibility/2006">
          <mc:Choice Requires="x14">
            <control shapeId="1028" r:id="rId10" name="Check Box 4">
              <controlPr defaultSize="0" autoFill="0" autoLine="0" autoPict="0">
                <anchor moveWithCells="1">
                  <from>
                    <xdr:col>0</xdr:col>
                    <xdr:colOff>101600</xdr:colOff>
                    <xdr:row>16</xdr:row>
                    <xdr:rowOff>177800</xdr:rowOff>
                  </from>
                  <to>
                    <xdr:col>0</xdr:col>
                    <xdr:colOff>927100</xdr:colOff>
                    <xdr:row>17</xdr:row>
                    <xdr:rowOff>203200</xdr:rowOff>
                  </to>
                </anchor>
              </controlPr>
            </control>
          </mc:Choice>
        </mc:AlternateContent>
        <mc:AlternateContent xmlns:mc="http://schemas.openxmlformats.org/markup-compatibility/2006">
          <mc:Choice Requires="x14">
            <control shapeId="1029" r:id="rId11" name="Check Box 5">
              <controlPr defaultSize="0" autoFill="0" autoLine="0" autoPict="0">
                <anchor moveWithCells="1">
                  <from>
                    <xdr:col>0</xdr:col>
                    <xdr:colOff>101600</xdr:colOff>
                    <xdr:row>15</xdr:row>
                    <xdr:rowOff>177800</xdr:rowOff>
                  </from>
                  <to>
                    <xdr:col>0</xdr:col>
                    <xdr:colOff>927100</xdr:colOff>
                    <xdr:row>16</xdr:row>
                    <xdr:rowOff>203200</xdr:rowOff>
                  </to>
                </anchor>
              </controlPr>
            </control>
          </mc:Choice>
        </mc:AlternateContent>
        <mc:AlternateContent xmlns:mc="http://schemas.openxmlformats.org/markup-compatibility/2006">
          <mc:Choice Requires="x14">
            <control shapeId="1030" r:id="rId12" name="Check Box 6">
              <controlPr defaultSize="0" autoFill="0" autoLine="0" autoPict="0">
                <anchor moveWithCells="1">
                  <from>
                    <xdr:col>0</xdr:col>
                    <xdr:colOff>101600</xdr:colOff>
                    <xdr:row>16</xdr:row>
                    <xdr:rowOff>177800</xdr:rowOff>
                  </from>
                  <to>
                    <xdr:col>0</xdr:col>
                    <xdr:colOff>927100</xdr:colOff>
                    <xdr:row>17</xdr:row>
                    <xdr:rowOff>203200</xdr:rowOff>
                  </to>
                </anchor>
              </controlPr>
            </control>
          </mc:Choice>
        </mc:AlternateContent>
        <mc:AlternateContent xmlns:mc="http://schemas.openxmlformats.org/markup-compatibility/2006">
          <mc:Choice Requires="x14">
            <control shapeId="1031" r:id="rId13" name="Check Box 7">
              <controlPr defaultSize="0" autoFill="0" autoLine="0" autoPict="0">
                <anchor moveWithCells="1">
                  <from>
                    <xdr:col>0</xdr:col>
                    <xdr:colOff>101600</xdr:colOff>
                    <xdr:row>15</xdr:row>
                    <xdr:rowOff>177800</xdr:rowOff>
                  </from>
                  <to>
                    <xdr:col>0</xdr:col>
                    <xdr:colOff>927100</xdr:colOff>
                    <xdr:row>16</xdr:row>
                    <xdr:rowOff>203200</xdr:rowOff>
                  </to>
                </anchor>
              </controlPr>
            </control>
          </mc:Choice>
        </mc:AlternateContent>
        <mc:AlternateContent xmlns:mc="http://schemas.openxmlformats.org/markup-compatibility/2006">
          <mc:Choice Requires="x14">
            <control shapeId="1032" r:id="rId14" name="Check Box 8">
              <controlPr defaultSize="0" autoFill="0" autoLine="0" autoPict="0">
                <anchor moveWithCells="1">
                  <from>
                    <xdr:col>0</xdr:col>
                    <xdr:colOff>101600</xdr:colOff>
                    <xdr:row>16</xdr:row>
                    <xdr:rowOff>177800</xdr:rowOff>
                  </from>
                  <to>
                    <xdr:col>0</xdr:col>
                    <xdr:colOff>927100</xdr:colOff>
                    <xdr:row>17</xdr:row>
                    <xdr:rowOff>203200</xdr:rowOff>
                  </to>
                </anchor>
              </controlPr>
            </control>
          </mc:Choice>
        </mc:AlternateContent>
        <mc:AlternateContent xmlns:mc="http://schemas.openxmlformats.org/markup-compatibility/2006">
          <mc:Choice Requires="x14">
            <control shapeId="1033" r:id="rId15" name="Check Box 9">
              <controlPr defaultSize="0" autoFill="0" autoLine="0" autoPict="0">
                <anchor moveWithCells="1">
                  <from>
                    <xdr:col>0</xdr:col>
                    <xdr:colOff>101600</xdr:colOff>
                    <xdr:row>15</xdr:row>
                    <xdr:rowOff>177800</xdr:rowOff>
                  </from>
                  <to>
                    <xdr:col>0</xdr:col>
                    <xdr:colOff>927100</xdr:colOff>
                    <xdr:row>16</xdr:row>
                    <xdr:rowOff>203200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a69f624f-7ef0-4592-924e-3cff8cc1cd2d">
      <UserInfo>
        <DisplayName>Lea Gaitan l Liberty Sport Events</DisplayName>
        <AccountId>783</AccountId>
        <AccountType/>
      </UserInfo>
      <UserInfo>
        <DisplayName>Ekaterina Eremeeva l Liberty Russia</DisplayName>
        <AccountId>710</AccountId>
        <AccountType/>
      </UserInfo>
    </SharedWithUsers>
    <lcf76f155ced4ddcb4097134ff3c332f xmlns="a65c86be-96b2-46ad-a92c-5724a6e51691">
      <Terms xmlns="http://schemas.microsoft.com/office/infopath/2007/PartnerControls"/>
    </lcf76f155ced4ddcb4097134ff3c332f>
    <TaxCatchAll xmlns="a69f624f-7ef0-4592-924e-3cff8cc1cd2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2EE9E80E3487DC44B99E7BC37C8F43DD" ma:contentTypeVersion="18" ma:contentTypeDescription="Utwórz nowy dokument." ma:contentTypeScope="" ma:versionID="b85ce7f46f3c0a0d68ddad5b026a92b6">
  <xsd:schema xmlns:xsd="http://www.w3.org/2001/XMLSchema" xmlns:xs="http://www.w3.org/2001/XMLSchema" xmlns:p="http://schemas.microsoft.com/office/2006/metadata/properties" xmlns:ns2="a65c86be-96b2-46ad-a92c-5724a6e51691" xmlns:ns3="a69f624f-7ef0-4592-924e-3cff8cc1cd2d" targetNamespace="http://schemas.microsoft.com/office/2006/metadata/properties" ma:root="true" ma:fieldsID="83eddf080e83da0660975b3ebab69cff" ns2:_="" ns3:_="">
    <xsd:import namespace="a65c86be-96b2-46ad-a92c-5724a6e51691"/>
    <xsd:import namespace="a69f624f-7ef0-4592-924e-3cff8cc1cd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5c86be-96b2-46ad-a92c-5724a6e516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i obrazów" ma:readOnly="false" ma:fieldId="{5cf76f15-5ced-4ddc-b409-7134ff3c332f}" ma:taxonomyMulti="true" ma:sspId="74418078-4753-4af9-9c88-13346d7fb69b"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9f624f-7ef0-4592-924e-3cff8cc1cd2d" elementFormDefault="qualified">
    <xsd:import namespace="http://schemas.microsoft.com/office/2006/documentManagement/types"/>
    <xsd:import namespace="http://schemas.microsoft.com/office/infopath/2007/PartnerControls"/>
    <xsd:element name="SharedWithUsers" ma:index="12"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Udostępnione dla — szczegóły" ma:internalName="SharedWithDetails" ma:readOnly="true">
      <xsd:simpleType>
        <xsd:restriction base="dms:Note">
          <xsd:maxLength value="255"/>
        </xsd:restriction>
      </xsd:simpleType>
    </xsd:element>
    <xsd:element name="TaxCatchAll" ma:index="23" nillable="true" ma:displayName="Taxonomy Catch All Column" ma:hidden="true" ma:list="{38698b8c-e7c3-4274-8020-89b5bf619003}" ma:internalName="TaxCatchAll" ma:showField="CatchAllData" ma:web="a69f624f-7ef0-4592-924e-3cff8cc1cd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10DC3E-D76F-4629-BA0F-80ADD1C362CC}">
  <ds:schemaRefs>
    <ds:schemaRef ds:uri="http://schemas.microsoft.com/sharepoint/v3/contenttype/forms"/>
  </ds:schemaRefs>
</ds:datastoreItem>
</file>

<file path=customXml/itemProps2.xml><?xml version="1.0" encoding="utf-8"?>
<ds:datastoreItem xmlns:ds="http://schemas.openxmlformats.org/officeDocument/2006/customXml" ds:itemID="{3DFAA4FB-E626-4BF9-B7A5-2781FADAAF0B}">
  <ds:schemaRefs>
    <ds:schemaRef ds:uri="http://schemas.microsoft.com/office/2006/metadata/properties"/>
    <ds:schemaRef ds:uri="http://schemas.microsoft.com/office/infopath/2007/PartnerControls"/>
    <ds:schemaRef ds:uri="d03872e0-e49a-419e-868a-cc9cbd55d866"/>
    <ds:schemaRef ds:uri="8025485c-7a63-4f55-99fe-16fae345e2f7"/>
    <ds:schemaRef ds:uri="a69f624f-7ef0-4592-924e-3cff8cc1cd2d"/>
    <ds:schemaRef ds:uri="a65c86be-96b2-46ad-a92c-5724a6e51691"/>
  </ds:schemaRefs>
</ds:datastoreItem>
</file>

<file path=customXml/itemProps3.xml><?xml version="1.0" encoding="utf-8"?>
<ds:datastoreItem xmlns:ds="http://schemas.openxmlformats.org/officeDocument/2006/customXml" ds:itemID="{E1CE9963-7C77-40D5-980F-E9D162CB06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5c86be-96b2-46ad-a92c-5724a6e51691"/>
    <ds:schemaRef ds:uri="a69f624f-7ef0-4592-924e-3cff8cc1cd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Liberty costing</vt:lpstr>
      <vt:lpstr>'Liberty costing'!Print_Area</vt:lpstr>
    </vt:vector>
  </TitlesOfParts>
  <Manager/>
  <Company>First Incentive Travel,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maximilian.wenger-oehn@liberty-int.com</dc:creator>
  <cp:keywords/>
  <dc:description/>
  <cp:lastModifiedBy>Yash Yadav | Liberty India</cp:lastModifiedBy>
  <cp:revision/>
  <dcterms:created xsi:type="dcterms:W3CDTF">2006-11-20T16:12:03Z</dcterms:created>
  <dcterms:modified xsi:type="dcterms:W3CDTF">2025-02-19T11:34:49Z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0x0101002EE9E80E3487DC44B99E7BC37C8F43DD</vt:lpwstr>
  </property>
  <property fmtid="{D5CDD505-2E9C-101B-9397-08002B2CF9AE}" pid="3" name="MediaServiceImageTags">
    <vt:lpwstr/>
  </property>
</Properties>
</file>