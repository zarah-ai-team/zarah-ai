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s/Desktop/"/>
    </mc:Choice>
  </mc:AlternateContent>
  <xr:revisionPtr revIDLastSave="0" documentId="8_{E3B1FA87-09DD-0743-BEBE-F9B509A31B51}" xr6:coauthVersionLast="47" xr6:coauthVersionMax="47" xr10:uidLastSave="{00000000-0000-0000-0000-000000000000}"/>
  <bookViews>
    <workbookView xWindow="0" yWindow="0" windowWidth="28800" windowHeight="18000" xr2:uid="{E1814877-EA91-4FEA-BCC6-EADEC723BC4A}"/>
  </bookViews>
  <sheets>
    <sheet name="100 pax " sheetId="1" r:id="rId1"/>
    <sheet name="70 pax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3" l="1"/>
  <c r="E53" i="3"/>
  <c r="E42" i="1" l="1"/>
  <c r="D43" i="1" s="1"/>
  <c r="E43" i="1" s="1"/>
  <c r="E49" i="3"/>
  <c r="E47" i="3"/>
  <c r="E45" i="3"/>
  <c r="E44" i="3"/>
  <c r="E43" i="3"/>
  <c r="E40" i="3"/>
  <c r="E38" i="3"/>
  <c r="E37" i="3"/>
  <c r="E35" i="3"/>
  <c r="E32" i="3"/>
  <c r="E30" i="3"/>
  <c r="E29" i="3"/>
  <c r="E26" i="3"/>
  <c r="E25" i="3"/>
  <c r="E22" i="3"/>
  <c r="E18" i="3"/>
  <c r="E17" i="3"/>
  <c r="E16" i="3"/>
  <c r="E13" i="3"/>
  <c r="E11" i="3"/>
  <c r="E10" i="3"/>
  <c r="E9" i="3"/>
  <c r="E7" i="3"/>
  <c r="E7" i="1"/>
  <c r="E8" i="1"/>
  <c r="E9" i="1"/>
  <c r="E11" i="1"/>
  <c r="E14" i="1"/>
  <c r="E15" i="1"/>
  <c r="E16" i="1"/>
  <c r="E17" i="1"/>
  <c r="E19" i="1"/>
  <c r="E22" i="1"/>
  <c r="E23" i="1"/>
  <c r="E24" i="1"/>
  <c r="E26" i="1"/>
  <c r="E28" i="1"/>
  <c r="E32" i="1"/>
  <c r="E33" i="1"/>
  <c r="E36" i="1"/>
  <c r="E38" i="1"/>
  <c r="E41" i="1"/>
  <c r="D54" i="3" l="1"/>
  <c r="E54" i="3" s="1"/>
</calcChain>
</file>

<file path=xl/sharedStrings.xml><?xml version="1.0" encoding="utf-8"?>
<sst xmlns="http://schemas.openxmlformats.org/spreadsheetml/2006/main" count="126" uniqueCount="75">
  <si>
    <t xml:space="preserve">Based on 100 Pax </t>
  </si>
  <si>
    <t>Transfer to airport to catch a flight back to home</t>
  </si>
  <si>
    <t xml:space="preserve">Breakfast at hotel - Checkout </t>
  </si>
  <si>
    <t xml:space="preserve">Day 5 Sept 20th </t>
  </si>
  <si>
    <t xml:space="preserve">Coach for 12hrs </t>
  </si>
  <si>
    <t>Overnight stay at the hotel</t>
  </si>
  <si>
    <t xml:space="preserve">Indian dinner / non exclusive </t>
  </si>
  <si>
    <t>Dinner at Indian restaurant</t>
  </si>
  <si>
    <t>Transfer back to Edinburgh</t>
  </si>
  <si>
    <t>Later on, princes Street for 2hrs shopping</t>
  </si>
  <si>
    <t xml:space="preserve">Indian lunch / non exclusive </t>
  </si>
  <si>
    <t>Lunch at Indian restaurant</t>
  </si>
  <si>
    <t>Guided City Tour of Glasgow</t>
  </si>
  <si>
    <t>Transfer to Glasgow</t>
  </si>
  <si>
    <t>Breakfast at the hotel</t>
  </si>
  <si>
    <t xml:space="preserve">Day 4 Sept 19th </t>
  </si>
  <si>
    <t xml:space="preserve">Back to Edinburgh </t>
  </si>
  <si>
    <t xml:space="preserve">Enjoy afternoon cruise </t>
  </si>
  <si>
    <t>Lunch at local restaurant</t>
  </si>
  <si>
    <t>Full day guided  tour of Loch Lomond</t>
  </si>
  <si>
    <t>Breakfast at hotel</t>
  </si>
  <si>
    <t xml:space="preserve">Day 3 Sept 18th </t>
  </si>
  <si>
    <t xml:space="preserve">Coach for 10hrs </t>
  </si>
  <si>
    <t>Overnight stay at hotel</t>
  </si>
  <si>
    <t xml:space="preserve">Tutored tasting </t>
  </si>
  <si>
    <t>Evening transfer to The Scotch Whisky experience</t>
  </si>
  <si>
    <t xml:space="preserve">Indian buffet lunch / non exclusive </t>
  </si>
  <si>
    <t>Visit Edinburgh Castle with entrance</t>
  </si>
  <si>
    <t xml:space="preserve">Day 2 Sept 17th </t>
  </si>
  <si>
    <t xml:space="preserve">Indian Dinner / non exclusive </t>
  </si>
  <si>
    <t>Post lunchGuided city tour of Edinburgh for 02 hrs including St Giles' Cathedral, Royal Mile, Museum on The Mound, Grass market, Mercat Cross, Victoria street. (no entrance) - only guided tour with pass by and photo stops</t>
  </si>
  <si>
    <t>Board your coaches &amp; proceed for lunch</t>
  </si>
  <si>
    <t>Clear immigration, collect your baggage and proceed through exit</t>
  </si>
  <si>
    <t>Arrival at Edinburgh International Airport</t>
  </si>
  <si>
    <t xml:space="preserve">Day 1 Sept 16th </t>
  </si>
  <si>
    <t xml:space="preserve">Remarks </t>
  </si>
  <si>
    <t xml:space="preserve">Total </t>
  </si>
  <si>
    <t>Cost per unit</t>
  </si>
  <si>
    <t>Unit(s)</t>
  </si>
  <si>
    <t xml:space="preserve">Description / Service </t>
  </si>
  <si>
    <t xml:space="preserve">V5Global / Liberty India </t>
  </si>
  <si>
    <t xml:space="preserve">Based on 70 Pax </t>
  </si>
  <si>
    <t>Total / per person</t>
  </si>
  <si>
    <t xml:space="preserve">Check-out from the hotel and Transfer to Airport </t>
  </si>
  <si>
    <t xml:space="preserve">Day 6 Sept 20th </t>
  </si>
  <si>
    <t xml:space="preserve">Day 5 Sept 19th </t>
  </si>
  <si>
    <t xml:space="preserve">Day 4 Sept 18th </t>
  </si>
  <si>
    <t xml:space="preserve">Coach for both cities </t>
  </si>
  <si>
    <t xml:space="preserve">Indian buffet dinner / non exclusive </t>
  </si>
  <si>
    <t>Guided city tour of Edinburgh for 02 hrs including St Giles' Cathedral, Royal Mile, Museum on The Mound, Grass market, Mercat Cross, Victoria street.</t>
  </si>
  <si>
    <t xml:space="preserve">Check-in at the hotel </t>
  </si>
  <si>
    <t xml:space="preserve">Arrival at Edinburgh / Transfer to Hotel </t>
  </si>
  <si>
    <t xml:space="preserve">Wrap + fruit + water bottle + Juice + muffin </t>
  </si>
  <si>
    <t xml:space="preserve">Packed lunch </t>
  </si>
  <si>
    <t xml:space="preserve">09:00 (4h22m) 13:22 // Subject to availability </t>
  </si>
  <si>
    <t>Check-out from the hotel and Transfer to Edinburgh by train</t>
  </si>
  <si>
    <t xml:space="preserve">Day 3 Sept 17th </t>
  </si>
  <si>
    <t xml:space="preserve">Coach for 08hrs </t>
  </si>
  <si>
    <t xml:space="preserve">Not included </t>
  </si>
  <si>
    <t>Gala Dinner at the hotel ballroom</t>
  </si>
  <si>
    <t xml:space="preserve">Evening back to the Hotel </t>
  </si>
  <si>
    <t xml:space="preserve">London eye with entrance </t>
  </si>
  <si>
    <t xml:space="preserve">Only MT with entrance </t>
  </si>
  <si>
    <t>Visit Buckingham Palace and entrance to Madame Tussauds</t>
  </si>
  <si>
    <t xml:space="preserve">Day 2 Sept 16th </t>
  </si>
  <si>
    <t xml:space="preserve">Evening Thames River Cruise for 1 Hour </t>
  </si>
  <si>
    <t>Orientation tour of London (Guided)</t>
  </si>
  <si>
    <t>Post lunch, transfer to hotel for Check in</t>
  </si>
  <si>
    <t>Clear immigration, collect baggage and proceed through exit</t>
  </si>
  <si>
    <t xml:space="preserve">Arrival at London International Airport </t>
  </si>
  <si>
    <t xml:space="preserve">Day 1 Sept 15th </t>
  </si>
  <si>
    <t xml:space="preserve">Total per person </t>
  </si>
  <si>
    <t xml:space="preserve">Liberty fee </t>
  </si>
  <si>
    <t xml:space="preserve"> Liberty India </t>
  </si>
  <si>
    <t>Liberty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</si>
</sst>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[$INR]\ #,##0.00"/>
    <numFmt numFmtId="166" formatCode="_-[$£-809]* #,##0.00_-;\-[$£-809]* #,##0.00_-;_-[$£-809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ptos Display"/>
      <family val="2"/>
      <scheme val="major"/>
    </font>
    <font>
      <sz val="11"/>
      <name val="Calibri"/>
      <family val="2"/>
    </font>
    <font>
      <b/>
      <sz val="12"/>
      <name val="Aptos Display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165" fontId="2" fillId="0" borderId="0" xfId="0" applyNumberFormat="1" applyFont="1"/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/>
    <xf numFmtId="0" fontId="2" fillId="0" borderId="1" xfId="0" applyFont="1" applyBorder="1"/>
    <xf numFmtId="0" fontId="3" fillId="2" borderId="1" xfId="0" applyFont="1" applyFill="1" applyBorder="1"/>
    <xf numFmtId="166" fontId="2" fillId="3" borderId="1" xfId="0" applyNumberFormat="1" applyFont="1" applyFill="1" applyBorder="1" applyAlignment="1">
      <alignment horizontal="right" vertical="center"/>
    </xf>
    <xf numFmtId="166" fontId="2" fillId="3" borderId="1" xfId="1" applyNumberFormat="1" applyFont="1" applyFill="1" applyBorder="1" applyAlignment="1">
      <alignment horizontal="right" vertical="center"/>
    </xf>
    <xf numFmtId="166" fontId="2" fillId="3" borderId="1" xfId="1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66" fontId="2" fillId="3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right" vertical="center"/>
    </xf>
    <xf numFmtId="166" fontId="2" fillId="3" borderId="2" xfId="1" applyNumberFormat="1" applyFont="1" applyFill="1" applyBorder="1" applyAlignment="1">
      <alignment horizontal="right" vertical="center"/>
    </xf>
    <xf numFmtId="166" fontId="2" fillId="3" borderId="2" xfId="1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650B6-FD11-4A5A-BF5E-BB919B47671E}">
  <dimension ref="A1:F44"/>
  <sheetViews>
    <sheetView tabSelected="1" topLeftCell="A15" workbookViewId="0">
      <selection activeCell="C33" sqref="C33:F33"/>
    </sheetView>
  </sheetViews>
  <sheetFormatPr baseColWidth="10" defaultColWidth="8.6640625" defaultRowHeight="15" x14ac:dyDescent="0.2"/>
  <cols>
    <col min="1" max="1" width="2.6640625" style="1" bestFit="1" customWidth="1"/>
    <col min="2" max="2" width="58.83203125" style="1" bestFit="1" customWidth="1"/>
    <col min="3" max="3" width="7.5" style="1" bestFit="1" customWidth="1"/>
    <col min="4" max="4" width="13.6640625" style="1" bestFit="1" customWidth="1"/>
    <col min="5" max="5" width="12.6640625" style="1" bestFit="1" customWidth="1"/>
    <col min="6" max="6" width="46" style="1" bestFit="1" customWidth="1"/>
    <col min="7" max="16384" width="8.6640625" style="1"/>
  </cols>
  <sheetData>
    <row r="1" spans="1:6" x14ac:dyDescent="0.2">
      <c r="A1" s="32" t="s">
        <v>40</v>
      </c>
      <c r="B1" s="32"/>
      <c r="C1" s="32"/>
      <c r="D1" s="32"/>
      <c r="E1" s="32"/>
      <c r="F1" s="32"/>
    </row>
    <row r="2" spans="1:6" x14ac:dyDescent="0.2">
      <c r="A2" s="18"/>
      <c r="B2" s="18" t="s">
        <v>39</v>
      </c>
      <c r="C2" s="18" t="s">
        <v>38</v>
      </c>
      <c r="D2" s="18" t="s">
        <v>37</v>
      </c>
      <c r="E2" s="21" t="s">
        <v>36</v>
      </c>
      <c r="F2" s="21" t="s">
        <v>35</v>
      </c>
    </row>
    <row r="3" spans="1:6" x14ac:dyDescent="0.2">
      <c r="A3" s="20"/>
      <c r="B3" s="18" t="s">
        <v>34</v>
      </c>
      <c r="C3" s="10"/>
      <c r="D3" s="14"/>
      <c r="E3" s="8"/>
      <c r="F3" s="7"/>
    </row>
    <row r="4" spans="1:6" x14ac:dyDescent="0.2">
      <c r="A4" s="20"/>
      <c r="B4" s="6" t="s">
        <v>33</v>
      </c>
      <c r="C4" s="10"/>
      <c r="D4" s="14"/>
      <c r="E4" s="8"/>
      <c r="F4" s="7"/>
    </row>
    <row r="5" spans="1:6" x14ac:dyDescent="0.2">
      <c r="A5" s="20"/>
      <c r="B5" s="6" t="s">
        <v>32</v>
      </c>
      <c r="C5" s="10"/>
      <c r="D5" s="14"/>
      <c r="E5" s="8"/>
      <c r="F5" s="7"/>
    </row>
    <row r="6" spans="1:6" x14ac:dyDescent="0.2">
      <c r="A6" s="20"/>
      <c r="B6" s="6" t="s">
        <v>31</v>
      </c>
      <c r="C6" s="10"/>
      <c r="D6" s="14"/>
      <c r="E6" s="8"/>
      <c r="F6" s="16"/>
    </row>
    <row r="7" spans="1:6" x14ac:dyDescent="0.2">
      <c r="A7" s="20"/>
      <c r="B7" s="6" t="s">
        <v>11</v>
      </c>
      <c r="C7" s="10">
        <v>100</v>
      </c>
      <c r="D7" s="14">
        <v>30</v>
      </c>
      <c r="E7" s="8">
        <f>D7*C7</f>
        <v>3000</v>
      </c>
      <c r="F7" s="16" t="s">
        <v>10</v>
      </c>
    </row>
    <row r="8" spans="1:6" ht="64" x14ac:dyDescent="0.2">
      <c r="A8" s="20"/>
      <c r="B8" s="19" t="s">
        <v>30</v>
      </c>
      <c r="C8" s="10">
        <v>2</v>
      </c>
      <c r="D8" s="14">
        <v>250</v>
      </c>
      <c r="E8" s="8">
        <f>D8*C8</f>
        <v>500</v>
      </c>
      <c r="F8" s="7"/>
    </row>
    <row r="9" spans="1:6" x14ac:dyDescent="0.2">
      <c r="A9" s="11"/>
      <c r="B9" s="6" t="s">
        <v>7</v>
      </c>
      <c r="C9" s="10">
        <v>100</v>
      </c>
      <c r="D9" s="14">
        <v>32</v>
      </c>
      <c r="E9" s="8">
        <f>D9*C9</f>
        <v>3200</v>
      </c>
      <c r="F9" s="16" t="s">
        <v>29</v>
      </c>
    </row>
    <row r="10" spans="1:6" x14ac:dyDescent="0.2">
      <c r="A10" s="11"/>
      <c r="B10" s="6" t="s">
        <v>23</v>
      </c>
      <c r="C10" s="10"/>
      <c r="D10" s="14"/>
      <c r="E10" s="8"/>
      <c r="F10" s="7"/>
    </row>
    <row r="11" spans="1:6" x14ac:dyDescent="0.2">
      <c r="A11" s="10"/>
      <c r="B11" s="15" t="s">
        <v>22</v>
      </c>
      <c r="C11" s="10">
        <v>2</v>
      </c>
      <c r="D11" s="14">
        <v>950</v>
      </c>
      <c r="E11" s="8">
        <f>D11*C11</f>
        <v>1900</v>
      </c>
      <c r="F11" s="7"/>
    </row>
    <row r="12" spans="1:6" x14ac:dyDescent="0.2">
      <c r="A12" s="11"/>
      <c r="B12" s="18" t="s">
        <v>28</v>
      </c>
      <c r="C12" s="12"/>
      <c r="D12" s="9"/>
      <c r="E12" s="9"/>
      <c r="F12" s="7"/>
    </row>
    <row r="13" spans="1:6" x14ac:dyDescent="0.2">
      <c r="A13" s="5"/>
      <c r="B13" s="6" t="s">
        <v>20</v>
      </c>
      <c r="C13" s="12"/>
      <c r="D13" s="9"/>
      <c r="E13" s="9"/>
      <c r="F13" s="7"/>
    </row>
    <row r="14" spans="1:6" ht="16" x14ac:dyDescent="0.2">
      <c r="A14" s="11"/>
      <c r="B14" s="17" t="s">
        <v>27</v>
      </c>
      <c r="C14" s="10">
        <v>100</v>
      </c>
      <c r="D14" s="9">
        <v>21.5</v>
      </c>
      <c r="E14" s="8">
        <f>D14*C14</f>
        <v>2150</v>
      </c>
      <c r="F14" s="7"/>
    </row>
    <row r="15" spans="1:6" x14ac:dyDescent="0.2">
      <c r="A15" s="11"/>
      <c r="B15" s="6" t="s">
        <v>11</v>
      </c>
      <c r="C15" s="10">
        <v>100</v>
      </c>
      <c r="D15" s="14">
        <v>30</v>
      </c>
      <c r="E15" s="8">
        <f>D15*C15</f>
        <v>3000</v>
      </c>
      <c r="F15" s="16" t="s">
        <v>26</v>
      </c>
    </row>
    <row r="16" spans="1:6" ht="16" x14ac:dyDescent="0.2">
      <c r="A16" s="11"/>
      <c r="B16" s="17" t="s">
        <v>25</v>
      </c>
      <c r="C16" s="10">
        <v>100</v>
      </c>
      <c r="D16" s="14">
        <v>45</v>
      </c>
      <c r="E16" s="8">
        <f>D16*C16</f>
        <v>4500</v>
      </c>
      <c r="F16" s="16" t="s">
        <v>24</v>
      </c>
    </row>
    <row r="17" spans="1:6" ht="16" x14ac:dyDescent="0.2">
      <c r="A17" s="11"/>
      <c r="B17" s="17" t="s">
        <v>7</v>
      </c>
      <c r="C17" s="10">
        <v>100</v>
      </c>
      <c r="D17" s="9">
        <v>32</v>
      </c>
      <c r="E17" s="8">
        <f>D17*C17</f>
        <v>3200</v>
      </c>
      <c r="F17" s="16" t="s">
        <v>6</v>
      </c>
    </row>
    <row r="18" spans="1:6" x14ac:dyDescent="0.2">
      <c r="A18" s="11"/>
      <c r="B18" s="6" t="s">
        <v>23</v>
      </c>
      <c r="C18" s="12"/>
      <c r="D18" s="9"/>
      <c r="E18" s="9"/>
      <c r="F18" s="16"/>
    </row>
    <row r="19" spans="1:6" x14ac:dyDescent="0.2">
      <c r="A19" s="10"/>
      <c r="B19" s="15" t="s">
        <v>22</v>
      </c>
      <c r="C19" s="10">
        <v>2</v>
      </c>
      <c r="D19" s="14">
        <v>950</v>
      </c>
      <c r="E19" s="8">
        <f>D19*C19</f>
        <v>1900</v>
      </c>
      <c r="F19" s="7"/>
    </row>
    <row r="20" spans="1:6" ht="16" x14ac:dyDescent="0.2">
      <c r="A20" s="11"/>
      <c r="B20" s="13" t="s">
        <v>21</v>
      </c>
      <c r="C20" s="10"/>
      <c r="D20" s="14"/>
      <c r="E20" s="8"/>
      <c r="F20" s="7"/>
    </row>
    <row r="21" spans="1:6" ht="16" x14ac:dyDescent="0.2">
      <c r="A21" s="11"/>
      <c r="B21" s="17" t="s">
        <v>20</v>
      </c>
      <c r="C21" s="12"/>
      <c r="D21" s="9"/>
      <c r="E21" s="9"/>
      <c r="F21" s="7"/>
    </row>
    <row r="22" spans="1:6" ht="16" x14ac:dyDescent="0.2">
      <c r="A22" s="5"/>
      <c r="B22" s="17" t="s">
        <v>19</v>
      </c>
      <c r="C22" s="10">
        <v>2</v>
      </c>
      <c r="D22" s="9">
        <v>380</v>
      </c>
      <c r="E22" s="8">
        <f>D22*C22</f>
        <v>760</v>
      </c>
      <c r="F22" s="7"/>
    </row>
    <row r="23" spans="1:6" ht="16" x14ac:dyDescent="0.2">
      <c r="A23" s="11"/>
      <c r="B23" s="17" t="s">
        <v>18</v>
      </c>
      <c r="C23" s="10">
        <v>100</v>
      </c>
      <c r="D23" s="9">
        <v>30</v>
      </c>
      <c r="E23" s="8">
        <f>D23*C23</f>
        <v>3000</v>
      </c>
      <c r="F23" s="7"/>
    </row>
    <row r="24" spans="1:6" ht="16" x14ac:dyDescent="0.2">
      <c r="A24" s="5"/>
      <c r="B24" s="17" t="s">
        <v>17</v>
      </c>
      <c r="C24" s="10">
        <v>100</v>
      </c>
      <c r="D24" s="9">
        <v>20</v>
      </c>
      <c r="E24" s="8">
        <f>D24*C24</f>
        <v>2000</v>
      </c>
      <c r="F24" s="7"/>
    </row>
    <row r="25" spans="1:6" ht="16" x14ac:dyDescent="0.2">
      <c r="A25" s="11"/>
      <c r="B25" s="17" t="s">
        <v>16</v>
      </c>
      <c r="C25" s="12"/>
      <c r="D25" s="9"/>
      <c r="E25" s="9"/>
      <c r="F25" s="7"/>
    </row>
    <row r="26" spans="1:6" ht="16" x14ac:dyDescent="0.2">
      <c r="A26" s="5"/>
      <c r="B26" s="17" t="s">
        <v>7</v>
      </c>
      <c r="C26" s="10">
        <v>100</v>
      </c>
      <c r="D26" s="9">
        <v>32</v>
      </c>
      <c r="E26" s="8">
        <f>D26*C26</f>
        <v>3200</v>
      </c>
      <c r="F26" s="16" t="s">
        <v>6</v>
      </c>
    </row>
    <row r="27" spans="1:6" ht="16" x14ac:dyDescent="0.2">
      <c r="A27" s="11"/>
      <c r="B27" s="17" t="s">
        <v>5</v>
      </c>
      <c r="C27" s="12"/>
      <c r="D27" s="9"/>
      <c r="E27" s="9"/>
      <c r="F27" s="7"/>
    </row>
    <row r="28" spans="1:6" x14ac:dyDescent="0.2">
      <c r="A28" s="10"/>
      <c r="B28" s="15" t="s">
        <v>4</v>
      </c>
      <c r="C28" s="10">
        <v>2</v>
      </c>
      <c r="D28" s="14">
        <v>1100</v>
      </c>
      <c r="E28" s="8">
        <f>D28*C28</f>
        <v>2200</v>
      </c>
      <c r="F28" s="7"/>
    </row>
    <row r="29" spans="1:6" ht="16" x14ac:dyDescent="0.2">
      <c r="A29" s="11"/>
      <c r="B29" s="13" t="s">
        <v>15</v>
      </c>
      <c r="C29" s="10"/>
      <c r="D29" s="14"/>
      <c r="E29" s="8"/>
      <c r="F29" s="7"/>
    </row>
    <row r="30" spans="1:6" x14ac:dyDescent="0.2">
      <c r="A30" s="11"/>
      <c r="B30" s="6" t="s">
        <v>14</v>
      </c>
      <c r="C30" s="12"/>
      <c r="D30" s="9"/>
      <c r="E30" s="9"/>
      <c r="F30" s="7"/>
    </row>
    <row r="31" spans="1:6" x14ac:dyDescent="0.2">
      <c r="A31" s="5"/>
      <c r="B31" s="6" t="s">
        <v>13</v>
      </c>
      <c r="C31" s="10"/>
      <c r="D31" s="9"/>
      <c r="E31" s="8"/>
      <c r="F31" s="7"/>
    </row>
    <row r="32" spans="1:6" x14ac:dyDescent="0.2">
      <c r="A32" s="11"/>
      <c r="B32" s="6" t="s">
        <v>12</v>
      </c>
      <c r="C32" s="10">
        <v>2</v>
      </c>
      <c r="D32" s="9">
        <v>250</v>
      </c>
      <c r="E32" s="8">
        <f>D32*C32</f>
        <v>500</v>
      </c>
      <c r="F32" s="7"/>
    </row>
    <row r="33" spans="1:6" x14ac:dyDescent="0.2">
      <c r="A33" s="5"/>
      <c r="B33" s="6" t="s">
        <v>11</v>
      </c>
      <c r="C33" s="10">
        <v>100</v>
      </c>
      <c r="D33" s="9">
        <v>32</v>
      </c>
      <c r="E33" s="8">
        <f>D33*C33</f>
        <v>3200</v>
      </c>
      <c r="F33" s="16" t="s">
        <v>10</v>
      </c>
    </row>
    <row r="34" spans="1:6" x14ac:dyDescent="0.2">
      <c r="A34" s="11"/>
      <c r="B34" s="6" t="s">
        <v>9</v>
      </c>
      <c r="C34" s="12"/>
      <c r="D34" s="9"/>
      <c r="E34" s="9"/>
      <c r="F34" s="7"/>
    </row>
    <row r="35" spans="1:6" x14ac:dyDescent="0.2">
      <c r="A35" s="5"/>
      <c r="B35" s="6" t="s">
        <v>8</v>
      </c>
      <c r="C35" s="10"/>
      <c r="D35" s="9"/>
      <c r="E35" s="8"/>
      <c r="F35" s="16"/>
    </row>
    <row r="36" spans="1:6" x14ac:dyDescent="0.2">
      <c r="A36" s="11"/>
      <c r="B36" s="6" t="s">
        <v>7</v>
      </c>
      <c r="C36" s="10">
        <v>100</v>
      </c>
      <c r="D36" s="9">
        <v>32</v>
      </c>
      <c r="E36" s="8">
        <f>D36*C36</f>
        <v>3200</v>
      </c>
      <c r="F36" s="16" t="s">
        <v>6</v>
      </c>
    </row>
    <row r="37" spans="1:6" x14ac:dyDescent="0.2">
      <c r="A37" s="11"/>
      <c r="B37" s="6" t="s">
        <v>5</v>
      </c>
      <c r="C37" s="10"/>
      <c r="D37" s="14"/>
      <c r="E37" s="8"/>
      <c r="F37" s="7"/>
    </row>
    <row r="38" spans="1:6" x14ac:dyDescent="0.2">
      <c r="A38" s="10"/>
      <c r="B38" s="15" t="s">
        <v>4</v>
      </c>
      <c r="C38" s="10">
        <v>2</v>
      </c>
      <c r="D38" s="14">
        <v>1100</v>
      </c>
      <c r="E38" s="8">
        <f>D38*C38</f>
        <v>2200</v>
      </c>
      <c r="F38" s="7"/>
    </row>
    <row r="39" spans="1:6" ht="16" x14ac:dyDescent="0.2">
      <c r="A39" s="5"/>
      <c r="B39" s="13" t="s">
        <v>3</v>
      </c>
      <c r="C39" s="12"/>
      <c r="D39" s="9"/>
      <c r="E39" s="9"/>
      <c r="F39" s="7"/>
    </row>
    <row r="40" spans="1:6" x14ac:dyDescent="0.2">
      <c r="A40" s="11"/>
      <c r="B40" s="6" t="s">
        <v>2</v>
      </c>
      <c r="C40" s="10"/>
      <c r="D40" s="9"/>
      <c r="E40" s="8"/>
      <c r="F40" s="7"/>
    </row>
    <row r="41" spans="1:6" x14ac:dyDescent="0.2">
      <c r="A41" s="5"/>
      <c r="B41" s="6" t="s">
        <v>1</v>
      </c>
      <c r="C41" s="10">
        <v>2</v>
      </c>
      <c r="D41" s="9">
        <v>500</v>
      </c>
      <c r="E41" s="8">
        <f>D41*C41</f>
        <v>1000</v>
      </c>
      <c r="F41" s="7"/>
    </row>
    <row r="42" spans="1:6" x14ac:dyDescent="0.2">
      <c r="A42" s="5"/>
      <c r="B42" s="6" t="s">
        <v>74</v>
      </c>
      <c r="C42" s="10">
        <v>100</v>
      </c>
      <c r="D42" s="9">
        <v>50</v>
      </c>
      <c r="E42" s="8">
        <f>D42*C42</f>
        <v>5000</v>
      </c>
      <c r="F42" s="7"/>
    </row>
    <row r="43" spans="1:6" x14ac:dyDescent="0.2">
      <c r="A43" s="5"/>
      <c r="B43" s="6" t="s">
        <v>71</v>
      </c>
      <c r="C43" s="10">
        <v>100</v>
      </c>
      <c r="D43" s="9">
        <f>SUM(E6:E42)/100</f>
        <v>496.1</v>
      </c>
      <c r="E43" s="8">
        <f>D43*C43</f>
        <v>49610</v>
      </c>
      <c r="F43" s="7" t="s">
        <v>0</v>
      </c>
    </row>
    <row r="44" spans="1:6" x14ac:dyDescent="0.2">
      <c r="F44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D25C-0C56-4952-8E4F-22DE7ED1230F}">
  <dimension ref="A1:F57"/>
  <sheetViews>
    <sheetView topLeftCell="A29" workbookViewId="0">
      <selection activeCell="D20" sqref="D20"/>
    </sheetView>
  </sheetViews>
  <sheetFormatPr baseColWidth="10" defaultColWidth="8.6640625" defaultRowHeight="15" x14ac:dyDescent="0.2"/>
  <cols>
    <col min="1" max="1" width="2.6640625" style="1" bestFit="1" customWidth="1"/>
    <col min="2" max="2" width="58.83203125" style="1" bestFit="1" customWidth="1"/>
    <col min="3" max="3" width="7.5" style="1" bestFit="1" customWidth="1"/>
    <col min="4" max="4" width="13.6640625" style="1" bestFit="1" customWidth="1"/>
    <col min="5" max="5" width="13.1640625" style="1" bestFit="1" customWidth="1"/>
    <col min="6" max="6" width="46" style="1" bestFit="1" customWidth="1"/>
    <col min="7" max="16384" width="8.6640625" style="1"/>
  </cols>
  <sheetData>
    <row r="1" spans="1:6" ht="16" thickBot="1" x14ac:dyDescent="0.25">
      <c r="A1" s="33" t="s">
        <v>73</v>
      </c>
      <c r="B1" s="34"/>
      <c r="C1" s="34"/>
      <c r="D1" s="34"/>
      <c r="E1" s="34"/>
      <c r="F1" s="35"/>
    </row>
    <row r="2" spans="1:6" ht="16" thickBot="1" x14ac:dyDescent="0.25">
      <c r="A2" s="31"/>
      <c r="B2" s="30" t="s">
        <v>39</v>
      </c>
      <c r="C2" s="30" t="s">
        <v>38</v>
      </c>
      <c r="D2" s="30" t="s">
        <v>37</v>
      </c>
      <c r="E2" s="29" t="s">
        <v>36</v>
      </c>
      <c r="F2" s="28" t="s">
        <v>35</v>
      </c>
    </row>
    <row r="3" spans="1:6" x14ac:dyDescent="0.2">
      <c r="A3" s="27"/>
      <c r="B3" s="22" t="s">
        <v>70</v>
      </c>
      <c r="C3" s="26"/>
      <c r="D3" s="25"/>
      <c r="E3" s="24"/>
      <c r="F3" s="23"/>
    </row>
    <row r="4" spans="1:6" ht="16" x14ac:dyDescent="0.2">
      <c r="A4" s="20"/>
      <c r="B4" s="17" t="s">
        <v>69</v>
      </c>
      <c r="C4" s="10"/>
      <c r="D4" s="14"/>
      <c r="E4" s="8"/>
      <c r="F4" s="7"/>
    </row>
    <row r="5" spans="1:6" ht="16" x14ac:dyDescent="0.2">
      <c r="A5" s="20"/>
      <c r="B5" s="17" t="s">
        <v>68</v>
      </c>
      <c r="C5" s="10"/>
      <c r="D5" s="14"/>
      <c r="E5" s="8"/>
      <c r="F5" s="7"/>
    </row>
    <row r="6" spans="1:6" ht="16" x14ac:dyDescent="0.2">
      <c r="A6" s="20"/>
      <c r="B6" s="17" t="s">
        <v>31</v>
      </c>
      <c r="C6" s="10"/>
      <c r="D6" s="14"/>
      <c r="E6" s="8"/>
      <c r="F6" s="7"/>
    </row>
    <row r="7" spans="1:6" ht="16" x14ac:dyDescent="0.2">
      <c r="A7" s="20"/>
      <c r="B7" s="17" t="s">
        <v>11</v>
      </c>
      <c r="C7" s="10">
        <v>70</v>
      </c>
      <c r="D7" s="14">
        <v>30</v>
      </c>
      <c r="E7" s="8">
        <f>D7*C7</f>
        <v>2100</v>
      </c>
      <c r="F7" s="7" t="s">
        <v>26</v>
      </c>
    </row>
    <row r="8" spans="1:6" ht="16" x14ac:dyDescent="0.2">
      <c r="A8" s="20"/>
      <c r="B8" s="17" t="s">
        <v>67</v>
      </c>
      <c r="C8" s="10"/>
      <c r="D8" s="14"/>
      <c r="E8" s="8"/>
      <c r="F8" s="7"/>
    </row>
    <row r="9" spans="1:6" ht="16" x14ac:dyDescent="0.2">
      <c r="A9" s="11"/>
      <c r="B9" s="17" t="s">
        <v>66</v>
      </c>
      <c r="C9" s="10">
        <v>2</v>
      </c>
      <c r="D9" s="14">
        <v>250</v>
      </c>
      <c r="E9" s="8">
        <f>D9*C9</f>
        <v>500</v>
      </c>
      <c r="F9" s="7"/>
    </row>
    <row r="10" spans="1:6" ht="16" x14ac:dyDescent="0.2">
      <c r="A10" s="11"/>
      <c r="B10" s="17" t="s">
        <v>65</v>
      </c>
      <c r="C10" s="10">
        <v>70</v>
      </c>
      <c r="D10" s="14">
        <v>13</v>
      </c>
      <c r="E10" s="8">
        <f>D10*C10</f>
        <v>910</v>
      </c>
      <c r="F10" s="7"/>
    </row>
    <row r="11" spans="1:6" ht="16" x14ac:dyDescent="0.2">
      <c r="A11" s="11"/>
      <c r="B11" s="17" t="s">
        <v>7</v>
      </c>
      <c r="C11" s="10">
        <v>70</v>
      </c>
      <c r="D11" s="14">
        <v>32</v>
      </c>
      <c r="E11" s="8">
        <f>D11*C11</f>
        <v>2240</v>
      </c>
      <c r="F11" s="16" t="s">
        <v>48</v>
      </c>
    </row>
    <row r="12" spans="1:6" ht="16" x14ac:dyDescent="0.2">
      <c r="A12" s="11"/>
      <c r="B12" s="17" t="s">
        <v>5</v>
      </c>
      <c r="C12" s="10"/>
      <c r="D12" s="14"/>
      <c r="E12" s="8"/>
      <c r="F12" s="7"/>
    </row>
    <row r="13" spans="1:6" x14ac:dyDescent="0.2">
      <c r="A13" s="10"/>
      <c r="B13" s="15" t="s">
        <v>22</v>
      </c>
      <c r="C13" s="10">
        <v>2</v>
      </c>
      <c r="D13" s="14">
        <v>900</v>
      </c>
      <c r="E13" s="8">
        <f>D13*C13</f>
        <v>1800</v>
      </c>
      <c r="F13" s="7"/>
    </row>
    <row r="14" spans="1:6" x14ac:dyDescent="0.2">
      <c r="A14" s="11"/>
      <c r="B14" s="22" t="s">
        <v>64</v>
      </c>
      <c r="C14" s="12"/>
      <c r="D14" s="9"/>
      <c r="E14" s="9"/>
      <c r="F14" s="7"/>
    </row>
    <row r="15" spans="1:6" ht="16" x14ac:dyDescent="0.2">
      <c r="A15" s="5"/>
      <c r="B15" s="17" t="s">
        <v>20</v>
      </c>
      <c r="C15" s="12"/>
      <c r="D15" s="9"/>
      <c r="E15" s="9"/>
      <c r="F15" s="7"/>
    </row>
    <row r="16" spans="1:6" ht="16" x14ac:dyDescent="0.2">
      <c r="A16" s="11"/>
      <c r="B16" s="17" t="s">
        <v>63</v>
      </c>
      <c r="C16" s="10">
        <v>70</v>
      </c>
      <c r="D16" s="14">
        <v>30</v>
      </c>
      <c r="E16" s="8">
        <f>D16*C16</f>
        <v>2100</v>
      </c>
      <c r="F16" s="16" t="s">
        <v>62</v>
      </c>
    </row>
    <row r="17" spans="1:6" ht="16" x14ac:dyDescent="0.2">
      <c r="A17" s="11"/>
      <c r="B17" s="17" t="s">
        <v>11</v>
      </c>
      <c r="C17" s="10">
        <v>70</v>
      </c>
      <c r="D17" s="14">
        <v>30</v>
      </c>
      <c r="E17" s="8">
        <f>D17*C17</f>
        <v>2100</v>
      </c>
      <c r="F17" s="16" t="s">
        <v>26</v>
      </c>
    </row>
    <row r="18" spans="1:6" ht="16" x14ac:dyDescent="0.2">
      <c r="A18" s="11"/>
      <c r="B18" s="17" t="s">
        <v>61</v>
      </c>
      <c r="C18" s="10">
        <v>70</v>
      </c>
      <c r="D18" s="14">
        <v>29</v>
      </c>
      <c r="E18" s="8">
        <f>D18*C18</f>
        <v>2030</v>
      </c>
      <c r="F18" s="7"/>
    </row>
    <row r="19" spans="1:6" ht="16" x14ac:dyDescent="0.2">
      <c r="A19" s="11"/>
      <c r="B19" s="17" t="s">
        <v>60</v>
      </c>
      <c r="C19" s="10"/>
      <c r="D19" s="14"/>
      <c r="E19" s="8"/>
      <c r="F19" s="7"/>
    </row>
    <row r="20" spans="1:6" ht="16" x14ac:dyDescent="0.2">
      <c r="A20" s="11"/>
      <c r="B20" s="17" t="s">
        <v>59</v>
      </c>
      <c r="C20" s="12"/>
      <c r="D20" s="9"/>
      <c r="E20" s="9"/>
      <c r="F20" s="16" t="s">
        <v>58</v>
      </c>
    </row>
    <row r="21" spans="1:6" ht="16" x14ac:dyDescent="0.2">
      <c r="A21" s="5"/>
      <c r="B21" s="17" t="s">
        <v>5</v>
      </c>
      <c r="C21" s="12"/>
      <c r="D21" s="9"/>
      <c r="E21" s="9"/>
      <c r="F21" s="7"/>
    </row>
    <row r="22" spans="1:6" x14ac:dyDescent="0.2">
      <c r="A22" s="10"/>
      <c r="B22" s="15" t="s">
        <v>57</v>
      </c>
      <c r="C22" s="10">
        <v>2</v>
      </c>
      <c r="D22" s="14">
        <v>850</v>
      </c>
      <c r="E22" s="8">
        <f>D22*C22</f>
        <v>1700</v>
      </c>
      <c r="F22" s="7"/>
    </row>
    <row r="23" spans="1:6" ht="16" x14ac:dyDescent="0.2">
      <c r="A23" s="11"/>
      <c r="B23" s="13" t="s">
        <v>56</v>
      </c>
      <c r="C23" s="10"/>
      <c r="D23" s="14"/>
      <c r="E23" s="8"/>
      <c r="F23" s="7"/>
    </row>
    <row r="24" spans="1:6" ht="16" x14ac:dyDescent="0.2">
      <c r="A24" s="11"/>
      <c r="B24" s="17" t="s">
        <v>20</v>
      </c>
      <c r="C24" s="10"/>
      <c r="D24" s="14"/>
      <c r="E24" s="8"/>
      <c r="F24" s="7"/>
    </row>
    <row r="25" spans="1:6" ht="16" x14ac:dyDescent="0.2">
      <c r="A25" s="11"/>
      <c r="B25" s="17" t="s">
        <v>55</v>
      </c>
      <c r="C25" s="10">
        <v>70</v>
      </c>
      <c r="D25" s="14">
        <v>250</v>
      </c>
      <c r="E25" s="8">
        <f>D25*C25</f>
        <v>17500</v>
      </c>
      <c r="F25" s="16" t="s">
        <v>54</v>
      </c>
    </row>
    <row r="26" spans="1:6" ht="16" x14ac:dyDescent="0.2">
      <c r="A26" s="11"/>
      <c r="B26" s="17" t="s">
        <v>53</v>
      </c>
      <c r="C26" s="10">
        <v>70</v>
      </c>
      <c r="D26" s="14">
        <v>18</v>
      </c>
      <c r="E26" s="8">
        <f>D26*C26</f>
        <v>1260</v>
      </c>
      <c r="F26" s="16" t="s">
        <v>52</v>
      </c>
    </row>
    <row r="27" spans="1:6" ht="16" x14ac:dyDescent="0.2">
      <c r="A27" s="11"/>
      <c r="B27" s="17" t="s">
        <v>51</v>
      </c>
      <c r="C27" s="12"/>
      <c r="D27" s="9"/>
      <c r="E27" s="9"/>
      <c r="F27" s="7"/>
    </row>
    <row r="28" spans="1:6" ht="16" x14ac:dyDescent="0.2">
      <c r="A28" s="5"/>
      <c r="B28" s="17" t="s">
        <v>50</v>
      </c>
      <c r="C28" s="12"/>
      <c r="D28" s="9"/>
      <c r="E28" s="9"/>
      <c r="F28" s="7"/>
    </row>
    <row r="29" spans="1:6" ht="48" x14ac:dyDescent="0.2">
      <c r="A29" s="20"/>
      <c r="B29" s="17" t="s">
        <v>49</v>
      </c>
      <c r="C29" s="10">
        <v>1</v>
      </c>
      <c r="D29" s="14">
        <v>250</v>
      </c>
      <c r="E29" s="8">
        <f>D29*C29</f>
        <v>250</v>
      </c>
      <c r="F29" s="7"/>
    </row>
    <row r="30" spans="1:6" ht="16" x14ac:dyDescent="0.2">
      <c r="A30" s="11"/>
      <c r="B30" s="17" t="s">
        <v>7</v>
      </c>
      <c r="C30" s="10">
        <v>70</v>
      </c>
      <c r="D30" s="14">
        <v>32</v>
      </c>
      <c r="E30" s="8">
        <f>D30*C30</f>
        <v>2240</v>
      </c>
      <c r="F30" s="16" t="s">
        <v>48</v>
      </c>
    </row>
    <row r="31" spans="1:6" ht="16" x14ac:dyDescent="0.2">
      <c r="A31" s="11"/>
      <c r="B31" s="17" t="s">
        <v>5</v>
      </c>
      <c r="C31" s="10"/>
      <c r="D31" s="14"/>
      <c r="E31" s="8"/>
      <c r="F31" s="7"/>
    </row>
    <row r="32" spans="1:6" x14ac:dyDescent="0.2">
      <c r="A32" s="10"/>
      <c r="B32" s="15" t="s">
        <v>47</v>
      </c>
      <c r="C32" s="10">
        <v>2</v>
      </c>
      <c r="D32" s="14">
        <v>1200</v>
      </c>
      <c r="E32" s="8">
        <f>D32*C32</f>
        <v>2400</v>
      </c>
      <c r="F32" s="7"/>
    </row>
    <row r="33" spans="1:6" ht="16" x14ac:dyDescent="0.2">
      <c r="A33" s="11"/>
      <c r="B33" s="13" t="s">
        <v>46</v>
      </c>
      <c r="C33" s="10"/>
      <c r="D33" s="14"/>
      <c r="E33" s="14"/>
      <c r="F33" s="7"/>
    </row>
    <row r="34" spans="1:6" ht="16" x14ac:dyDescent="0.2">
      <c r="A34" s="11"/>
      <c r="B34" s="17" t="s">
        <v>20</v>
      </c>
      <c r="C34" s="10"/>
      <c r="D34" s="14"/>
      <c r="E34" s="8"/>
      <c r="F34" s="7"/>
    </row>
    <row r="35" spans="1:6" ht="16" x14ac:dyDescent="0.2">
      <c r="A35" s="11"/>
      <c r="B35" s="17" t="s">
        <v>27</v>
      </c>
      <c r="C35" s="10">
        <v>70</v>
      </c>
      <c r="D35" s="9">
        <v>21.5</v>
      </c>
      <c r="E35" s="8">
        <f>D35*C35</f>
        <v>1505</v>
      </c>
      <c r="F35" s="7"/>
    </row>
    <row r="36" spans="1:6" ht="16" x14ac:dyDescent="0.2">
      <c r="A36" s="5"/>
      <c r="B36" s="17" t="s">
        <v>11</v>
      </c>
      <c r="C36" s="10"/>
      <c r="D36" s="9"/>
      <c r="E36" s="9"/>
      <c r="F36" s="7"/>
    </row>
    <row r="37" spans="1:6" ht="16" x14ac:dyDescent="0.2">
      <c r="A37" s="11"/>
      <c r="B37" s="17" t="s">
        <v>25</v>
      </c>
      <c r="C37" s="10">
        <v>70</v>
      </c>
      <c r="D37" s="14">
        <v>45</v>
      </c>
      <c r="E37" s="8">
        <f>D37*C37</f>
        <v>3150</v>
      </c>
      <c r="F37" s="16" t="s">
        <v>24</v>
      </c>
    </row>
    <row r="38" spans="1:6" ht="16" x14ac:dyDescent="0.2">
      <c r="A38" s="11"/>
      <c r="B38" s="17" t="s">
        <v>7</v>
      </c>
      <c r="C38" s="10">
        <v>70</v>
      </c>
      <c r="D38" s="9">
        <v>32</v>
      </c>
      <c r="E38" s="8">
        <f>D38*C38</f>
        <v>2240</v>
      </c>
      <c r="F38" s="16" t="s">
        <v>6</v>
      </c>
    </row>
    <row r="39" spans="1:6" ht="16" x14ac:dyDescent="0.2">
      <c r="A39" s="5"/>
      <c r="B39" s="17" t="s">
        <v>5</v>
      </c>
      <c r="C39" s="12"/>
      <c r="D39" s="9"/>
      <c r="E39" s="9"/>
      <c r="F39" s="7"/>
    </row>
    <row r="40" spans="1:6" x14ac:dyDescent="0.2">
      <c r="A40" s="10"/>
      <c r="B40" s="15" t="s">
        <v>4</v>
      </c>
      <c r="C40" s="10">
        <v>2</v>
      </c>
      <c r="D40" s="14">
        <v>1100</v>
      </c>
      <c r="E40" s="8">
        <f>D40*C40</f>
        <v>2200</v>
      </c>
      <c r="F40" s="7"/>
    </row>
    <row r="41" spans="1:6" ht="16" x14ac:dyDescent="0.2">
      <c r="A41" s="11"/>
      <c r="B41" s="13" t="s">
        <v>45</v>
      </c>
      <c r="C41" s="10"/>
      <c r="D41" s="14"/>
      <c r="E41" s="8"/>
      <c r="F41" s="7"/>
    </row>
    <row r="42" spans="1:6" ht="16" x14ac:dyDescent="0.2">
      <c r="A42" s="11"/>
      <c r="B42" s="17" t="s">
        <v>20</v>
      </c>
      <c r="C42" s="12"/>
      <c r="D42" s="9"/>
      <c r="E42" s="9"/>
      <c r="F42" s="7"/>
    </row>
    <row r="43" spans="1:6" ht="16" x14ac:dyDescent="0.2">
      <c r="A43" s="5"/>
      <c r="B43" s="17" t="s">
        <v>19</v>
      </c>
      <c r="C43" s="10">
        <v>2</v>
      </c>
      <c r="D43" s="9">
        <v>380</v>
      </c>
      <c r="E43" s="8">
        <f>D43*C43</f>
        <v>760</v>
      </c>
      <c r="F43" s="7"/>
    </row>
    <row r="44" spans="1:6" ht="16" x14ac:dyDescent="0.2">
      <c r="A44" s="11"/>
      <c r="B44" s="17" t="s">
        <v>18</v>
      </c>
      <c r="C44" s="10">
        <v>70</v>
      </c>
      <c r="D44" s="9">
        <v>30</v>
      </c>
      <c r="E44" s="8">
        <f>D44*C44</f>
        <v>2100</v>
      </c>
      <c r="F44" s="7"/>
    </row>
    <row r="45" spans="1:6" ht="16" x14ac:dyDescent="0.2">
      <c r="A45" s="5"/>
      <c r="B45" s="17" t="s">
        <v>17</v>
      </c>
      <c r="C45" s="10">
        <v>70</v>
      </c>
      <c r="D45" s="9">
        <v>20</v>
      </c>
      <c r="E45" s="8">
        <f>D45*C45</f>
        <v>1400</v>
      </c>
      <c r="F45" s="7"/>
    </row>
    <row r="46" spans="1:6" ht="16" x14ac:dyDescent="0.2">
      <c r="A46" s="11"/>
      <c r="B46" s="17" t="s">
        <v>16</v>
      </c>
      <c r="C46" s="12"/>
      <c r="D46" s="9"/>
      <c r="E46" s="9"/>
      <c r="F46" s="7"/>
    </row>
    <row r="47" spans="1:6" ht="16" x14ac:dyDescent="0.2">
      <c r="A47" s="5"/>
      <c r="B47" s="17" t="s">
        <v>7</v>
      </c>
      <c r="C47" s="10">
        <v>70</v>
      </c>
      <c r="D47" s="9">
        <v>20</v>
      </c>
      <c r="E47" s="8">
        <f>D47*C47</f>
        <v>1400</v>
      </c>
      <c r="F47" s="16" t="s">
        <v>6</v>
      </c>
    </row>
    <row r="48" spans="1:6" ht="16" x14ac:dyDescent="0.2">
      <c r="A48" s="11"/>
      <c r="B48" s="17" t="s">
        <v>5</v>
      </c>
      <c r="C48" s="12"/>
      <c r="D48" s="9"/>
      <c r="E48" s="9"/>
      <c r="F48" s="7"/>
    </row>
    <row r="49" spans="1:6" x14ac:dyDescent="0.2">
      <c r="A49" s="10"/>
      <c r="B49" s="15" t="s">
        <v>4</v>
      </c>
      <c r="C49" s="10">
        <v>2</v>
      </c>
      <c r="D49" s="14">
        <v>1100</v>
      </c>
      <c r="E49" s="8">
        <f>D49*C49</f>
        <v>2200</v>
      </c>
      <c r="F49" s="7"/>
    </row>
    <row r="50" spans="1:6" ht="16" x14ac:dyDescent="0.2">
      <c r="A50" s="5"/>
      <c r="B50" s="13" t="s">
        <v>44</v>
      </c>
      <c r="C50" s="12"/>
      <c r="D50" s="9"/>
      <c r="E50" s="9"/>
      <c r="F50" s="7"/>
    </row>
    <row r="51" spans="1:6" ht="16" x14ac:dyDescent="0.2">
      <c r="A51" s="11"/>
      <c r="B51" s="17" t="s">
        <v>20</v>
      </c>
      <c r="C51" s="10"/>
      <c r="D51" s="9"/>
      <c r="E51" s="8"/>
      <c r="F51" s="7"/>
    </row>
    <row r="52" spans="1:6" ht="16" x14ac:dyDescent="0.2">
      <c r="A52" s="5"/>
      <c r="B52" s="17" t="s">
        <v>43</v>
      </c>
      <c r="C52" s="10">
        <v>2</v>
      </c>
      <c r="D52" s="9">
        <v>500</v>
      </c>
      <c r="E52" s="8">
        <f>D52*C52</f>
        <v>1000</v>
      </c>
      <c r="F52" s="7"/>
    </row>
    <row r="53" spans="1:6" x14ac:dyDescent="0.2">
      <c r="A53" s="5"/>
      <c r="B53" s="5" t="s">
        <v>72</v>
      </c>
      <c r="C53" s="10">
        <v>70</v>
      </c>
      <c r="D53" s="9">
        <v>50</v>
      </c>
      <c r="E53" s="8">
        <f>C53*D53</f>
        <v>3500</v>
      </c>
      <c r="F53" s="7"/>
    </row>
    <row r="54" spans="1:6" x14ac:dyDescent="0.2">
      <c r="A54" s="5"/>
      <c r="B54" s="5" t="s">
        <v>42</v>
      </c>
      <c r="C54" s="5">
        <v>70</v>
      </c>
      <c r="D54" s="4">
        <f>SUM(E7:E53)/70</f>
        <v>865.5</v>
      </c>
      <c r="E54" s="4">
        <f>D54*C54</f>
        <v>60585</v>
      </c>
      <c r="F54" s="3" t="s">
        <v>41</v>
      </c>
    </row>
    <row r="55" spans="1:6" x14ac:dyDescent="0.2">
      <c r="F55" s="2"/>
    </row>
    <row r="56" spans="1:6" x14ac:dyDescent="0.2">
      <c r="F56" s="2"/>
    </row>
    <row r="57" spans="1:6" x14ac:dyDescent="0.2">
      <c r="F57" s="2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 pax </vt:lpstr>
      <vt:lpstr>70 pax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Kapur</dc:creator>
  <cp:lastModifiedBy>Yash Yadav | Liberty International</cp:lastModifiedBy>
  <dcterms:created xsi:type="dcterms:W3CDTF">2025-06-03T06:39:52Z</dcterms:created>
  <dcterms:modified xsi:type="dcterms:W3CDTF">2025-06-03T08:41:45Z</dcterms:modified>
</cp:coreProperties>
</file>