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rys/Desktop/"/>
    </mc:Choice>
  </mc:AlternateContent>
  <xr:revisionPtr revIDLastSave="0" documentId="8_{FFE03518-8D86-FB44-A1A8-EBD54A91C01D}" xr6:coauthVersionLast="47" xr6:coauthVersionMax="47" xr10:uidLastSave="{00000000-0000-0000-0000-000000000000}"/>
  <bookViews>
    <workbookView xWindow="0" yWindow="500" windowWidth="28800" windowHeight="15800" xr2:uid="{A7A1B1BA-53B3-8848-823D-CAED91627599}"/>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6" i="1" l="1"/>
  <c r="E86" i="1" s="1"/>
  <c r="D85" i="1"/>
  <c r="D84" i="1"/>
  <c r="E84" i="1" s="1"/>
  <c r="D82" i="1"/>
  <c r="E82" i="1" s="1"/>
  <c r="D81" i="1"/>
  <c r="E81" i="1" s="1"/>
  <c r="D79" i="1"/>
  <c r="E79" i="1" s="1"/>
  <c r="D78" i="1"/>
  <c r="E78" i="1" s="1"/>
  <c r="D77" i="1"/>
  <c r="E77" i="1" s="1"/>
  <c r="D76" i="1"/>
  <c r="E76" i="1" s="1"/>
  <c r="D74" i="1"/>
  <c r="E74" i="1" s="1"/>
  <c r="D73" i="1"/>
  <c r="E73" i="1" s="1"/>
  <c r="D72" i="1"/>
  <c r="E72" i="1" s="1"/>
  <c r="D71" i="1"/>
  <c r="E71" i="1" s="1"/>
  <c r="E70" i="1"/>
  <c r="D70" i="1"/>
  <c r="D68" i="1"/>
  <c r="E68" i="1" s="1"/>
  <c r="D67" i="1"/>
  <c r="E67" i="1" s="1"/>
  <c r="D66" i="1"/>
  <c r="E66" i="1" s="1"/>
  <c r="D57" i="1"/>
  <c r="E57" i="1" s="1"/>
  <c r="D56" i="1"/>
  <c r="E56" i="1" s="1"/>
  <c r="D55" i="1"/>
  <c r="E55" i="1" s="1"/>
  <c r="D54" i="1"/>
  <c r="E54" i="1" s="1"/>
  <c r="D53" i="1"/>
  <c r="E53" i="1" s="1"/>
  <c r="D47" i="1"/>
  <c r="E47" i="1" s="1"/>
  <c r="D46" i="1"/>
  <c r="E46" i="1" s="1"/>
  <c r="D45" i="1"/>
  <c r="E45" i="1" s="1"/>
  <c r="D44" i="1"/>
  <c r="E44" i="1" s="1"/>
  <c r="D43" i="1"/>
  <c r="E43" i="1" s="1"/>
  <c r="D37" i="1"/>
  <c r="E37" i="1" s="1"/>
  <c r="D36" i="1"/>
  <c r="E36" i="1" s="1"/>
  <c r="D35" i="1"/>
  <c r="E35" i="1" s="1"/>
  <c r="D34" i="1"/>
  <c r="E34" i="1" s="1"/>
  <c r="D33" i="1"/>
  <c r="E33" i="1" s="1"/>
  <c r="D27" i="1"/>
  <c r="E27" i="1" s="1"/>
  <c r="D26" i="1"/>
  <c r="E26" i="1" s="1"/>
  <c r="D25" i="1"/>
  <c r="E25" i="1" s="1"/>
  <c r="E24" i="1"/>
  <c r="D24" i="1"/>
  <c r="D23" i="1"/>
  <c r="E23" i="1" s="1"/>
  <c r="E38" i="1" l="1"/>
  <c r="E28" i="1"/>
  <c r="E58" i="1"/>
  <c r="E87" i="1"/>
  <c r="E93" i="1" s="1"/>
  <c r="E48" i="1"/>
  <c r="E91" i="1" s="1"/>
  <c r="E96" i="1" s="1" a="1"/>
  <c r="E96" i="1" s="1"/>
  <c r="E9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<sst xmlns="http://schemas.openxmlformats.org/spreadsheetml/2006/main" count="151" uniqueCount="95">
  <si>
    <t>QUOTATION</t>
  </si>
  <si>
    <t>GROUP NAME:</t>
  </si>
  <si>
    <t>DESTINATION:</t>
  </si>
  <si>
    <t>TURKEY</t>
  </si>
  <si>
    <t>DATES:</t>
  </si>
  <si>
    <t>20-24 MAY</t>
  </si>
  <si>
    <t>PAX / ROOMS:</t>
  </si>
  <si>
    <t>190 PAX</t>
  </si>
  <si>
    <t>INCOMING CONTACT:</t>
  </si>
  <si>
    <r>
      <rPr>
        <b/>
        <u/>
        <sz val="12"/>
        <rFont val="Century Gothic"/>
        <family val="2"/>
        <charset val="162"/>
      </rPr>
      <t>PRICING MODEL</t>
    </r>
    <r>
      <rPr>
        <b/>
        <sz val="11"/>
        <rFont val="Century Gothic"/>
        <family val="2"/>
        <charset val="162"/>
      </rPr>
      <t xml:space="preserve">  </t>
    </r>
  </si>
  <si>
    <r>
      <rPr>
        <b/>
        <sz val="11"/>
        <color rgb="FFFF0000"/>
        <rFont val="Century Gothic"/>
        <family val="2"/>
        <charset val="162"/>
      </rPr>
      <t>EURO</t>
    </r>
    <r>
      <rPr>
        <b/>
        <sz val="11"/>
        <rFont val="Century Gothic"/>
        <family val="2"/>
        <charset val="162"/>
      </rPr>
      <t xml:space="preserve">     CURRENCY OF THIS QUOTATION        
</t>
    </r>
    <r>
      <rPr>
        <b/>
        <strike/>
        <sz val="11"/>
        <rFont val="Arial"/>
        <family val="2"/>
      </rPr>
      <t/>
    </r>
  </si>
  <si>
    <r>
      <t xml:space="preserve">                VAT NOT RECLAIMED        
</t>
    </r>
    <r>
      <rPr>
        <b/>
        <strike/>
        <sz val="11"/>
        <rFont val="Arial"/>
        <family val="2"/>
      </rPr>
      <t/>
    </r>
  </si>
  <si>
    <t>NET RATES, inclusive of Taxes</t>
  </si>
  <si>
    <r>
      <rPr>
        <b/>
        <u/>
        <sz val="12"/>
        <rFont val="Century Gothic"/>
        <family val="2"/>
        <charset val="162"/>
      </rPr>
      <t>COMMISSION AGREEMENT</t>
    </r>
    <r>
      <rPr>
        <b/>
        <sz val="11"/>
        <rFont val="Century Gothic"/>
        <family val="2"/>
        <charset val="162"/>
      </rPr>
      <t xml:space="preserve"> </t>
    </r>
  </si>
  <si>
    <r>
      <t xml:space="preserve">             NON COMMISSIONABLE RATES     
</t>
    </r>
    <r>
      <rPr>
        <b/>
        <strike/>
        <sz val="11"/>
        <rFont val="Arial"/>
        <family val="2"/>
      </rPr>
      <t/>
    </r>
  </si>
  <si>
    <t xml:space="preserve">                 only if applicable to all below rates.</t>
  </si>
  <si>
    <t>SHERATON CITY CENTER HOTEL 5*</t>
  </si>
  <si>
    <t>Nights</t>
  </si>
  <si>
    <t>Units</t>
  </si>
  <si>
    <t>Price per unit</t>
  </si>
  <si>
    <t>Total</t>
  </si>
  <si>
    <t>Remarks</t>
  </si>
  <si>
    <t>Hotel</t>
  </si>
  <si>
    <t>Single room on BB basis</t>
  </si>
  <si>
    <t xml:space="preserve">Bed and Breakfast and Taxes included.Early check in is not garranted- </t>
  </si>
  <si>
    <t>Double  room on BB basis</t>
  </si>
  <si>
    <t>Gala Event at the Sheraton City Center Hotel</t>
  </si>
  <si>
    <t>Indian catering, unlimited 2 hours alcoholic drinks (beer and wine) and venue</t>
  </si>
  <si>
    <t>Gala Dinner Technical Rate</t>
  </si>
  <si>
    <t>15mx4m Led Screen, WATCHOUT system, 2 plasma, Digital Mixer, sound system lineray, 4 Headset microphone, 4 hand microphone, Prompt, Light table, 8 sharpy robot, 8 painting robot, 4 white light, 6 Fresnell light, 2 Truss system motorized, Energy panel, 4 technician</t>
  </si>
  <si>
    <t>Photobooth and Branding</t>
  </si>
  <si>
    <t xml:space="preserve">HOTEL COSTS (excluding program) </t>
  </si>
  <si>
    <t>RENAISSANCE BOSPHORUS HOTEL BESIKTAS 5*</t>
  </si>
  <si>
    <t>Gala Event at the Renaissance Bosphorus Hotel</t>
  </si>
  <si>
    <t>Indian catering, unlimited 2 hours alcoholic drinks beer and wine and venue</t>
  </si>
  <si>
    <t>WINDSOR HOTEL ISTANBUL 5*</t>
  </si>
  <si>
    <t>Gala Event at the Windsor Hotel</t>
  </si>
  <si>
    <t>RENAISSANCE POLAT HOTEL YESILKOY 5*</t>
  </si>
  <si>
    <t>Gala Event at the Renaissance Polat Hotel</t>
  </si>
  <si>
    <t>Gala Dinner Technical Package</t>
  </si>
  <si>
    <t xml:space="preserve">ISTANBUL </t>
  </si>
  <si>
    <t>OFFERED SERVICES - DAY BY DAY</t>
  </si>
  <si>
    <t>Days</t>
  </si>
  <si>
    <t>PROGRAM</t>
  </si>
  <si>
    <t>DAY 1</t>
  </si>
  <si>
    <t>Transportation from Istanbul airport to hotel</t>
  </si>
  <si>
    <t>transportation by luxury coach and half day vehicle,english speaking guide included</t>
  </si>
  <si>
    <t>Lunch at the Dubb Taksim New Restaurant</t>
  </si>
  <si>
    <t>2 VEG 2 NON VEG MAINCOURSE+1 BEER OR SOFT DRINK</t>
  </si>
  <si>
    <t>Private Dinner on the Bosphorus Cruise By The Boat</t>
  </si>
  <si>
    <t>Whirling Dervis + Belly Dancer show. Main course unlimited soft drink. The menu will be shared on confirmation.</t>
  </si>
  <si>
    <t>DAY 2</t>
  </si>
  <si>
    <t>Breakfast at the hotel</t>
  </si>
  <si>
    <t>2 indian item included.</t>
  </si>
  <si>
    <t>FD Princess Island Tour</t>
  </si>
  <si>
    <t>By bus, Electric buggy ride,Private Boat, English speaking guide included.</t>
  </si>
  <si>
    <t>Lunch at the Milano Local Restaurant</t>
  </si>
  <si>
    <t>fix menu</t>
  </si>
  <si>
    <t>Visit Taksim Square and Istiklal Street</t>
  </si>
  <si>
    <t>Free Time</t>
  </si>
  <si>
    <t>Dinner at Sultanas Restaurant</t>
  </si>
  <si>
    <t>Indian Catering and unlimited beer and wine includrd by transportation</t>
  </si>
  <si>
    <t>DAY 3</t>
  </si>
  <si>
    <t xml:space="preserve">                                                                                             </t>
  </si>
  <si>
    <t>FD Istanbul Classic Tour (Sultanahmet Area, Hippodrome, Topkapi Palace, Blue Mosque, Grand Bazaar, Pierre Loti Cable Car</t>
  </si>
  <si>
    <t>Including English speaking guide entrance fee for Topkapi palace and transportation</t>
  </si>
  <si>
    <t>Hagia Sophia Entrance fee optional</t>
  </si>
  <si>
    <t xml:space="preserve">Entrance fee-If you want to add to program </t>
  </si>
  <si>
    <t>Lunch at the Dubb Kebap Restaurant</t>
  </si>
  <si>
    <t>Dinner in Dubb Taksim Indian restaurant</t>
  </si>
  <si>
    <t>2 VEG 2 NON VEG STARTER AND 2 VEG 2 NON VEG MAINCOURSE</t>
  </si>
  <si>
    <t>DAY 4</t>
  </si>
  <si>
    <t xml:space="preserve">Visit Dolmabahce Palace </t>
  </si>
  <si>
    <t>By bus, entrance fee ,English speaking guide included.</t>
  </si>
  <si>
    <t>Lunch at the Dubb Taksim Indian Restaurant</t>
  </si>
  <si>
    <t>Lunch at the Indian Restaurant</t>
  </si>
  <si>
    <t>Free Time For Shopping</t>
  </si>
  <si>
    <t>Istanbul City Hotel to Airport transfer</t>
  </si>
  <si>
    <t>By bus, English speaking guide included.</t>
  </si>
  <si>
    <t>SERVICES - DAY BY DAY
(excluding hotel)</t>
  </si>
  <si>
    <t>COST SUMMARY</t>
  </si>
  <si>
    <t xml:space="preserve">   
   </t>
  </si>
  <si>
    <t>TOTAL</t>
  </si>
  <si>
    <t>HOTEL COSTS(Based on Windsor Hotel)</t>
  </si>
  <si>
    <t>SERVICES - DAY BY DAY</t>
  </si>
  <si>
    <t xml:space="preserve">TOTAL COSTS </t>
  </si>
  <si>
    <t>TOTAL COSTS per person</t>
  </si>
  <si>
    <t>based on pax</t>
  </si>
  <si>
    <t>*The rates quoted below are valid only for this group, and valid for 15 days. if the dates are changed the rates are subject to change. in case the suppliers increase their prices we reserve the right to adapt the rates accordingly.</t>
  </si>
  <si>
    <t>No bookings are service made</t>
  </si>
  <si>
    <t>VAT and City Taxes included all above rates.</t>
  </si>
  <si>
    <t>If there will be dicrease of the numbers of the guest Increase will be reflected to rates on each services.</t>
  </si>
  <si>
    <t>JTB India</t>
  </si>
  <si>
    <t>Shariq</t>
  </si>
  <si>
    <t>LIBERTY INTERNATIONAL STAFF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</si>
</sst>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_ ;\-#,##0.00\ "/>
    <numFmt numFmtId="165" formatCode="_-* #,##0.00\ [$€-407]_-;\-* #,##0.00\ [$€-407]_-;_-* &quot;-&quot;??\ [$€-407]_-;_-@_-"/>
    <numFmt numFmtId="166" formatCode="_(* #,##0.00_);_(* \(#,##0.00\);_(* \-??_);_(@_)"/>
  </numFmts>
  <fonts count="33" x14ac:knownFonts="1">
    <font>
      <sz val="12"/>
      <color theme="1"/>
      <name val="Aptos Narrow"/>
      <family val="2"/>
      <scheme val="minor"/>
    </font>
    <font>
      <u/>
      <sz val="12"/>
      <color theme="10"/>
      <name val="Aptos Narrow"/>
      <family val="2"/>
      <scheme val="minor"/>
    </font>
    <font>
      <sz val="11"/>
      <name val="Century Gothic"/>
      <family val="2"/>
      <charset val="162"/>
    </font>
    <font>
      <sz val="10"/>
      <name val="Century Gothic"/>
      <family val="2"/>
      <charset val="162"/>
    </font>
    <font>
      <sz val="10"/>
      <name val="Arial"/>
      <family val="2"/>
    </font>
    <font>
      <b/>
      <sz val="11"/>
      <color rgb="FF92D050"/>
      <name val="Century Gothic"/>
      <family val="2"/>
      <charset val="162"/>
    </font>
    <font>
      <b/>
      <sz val="12"/>
      <name val="Century Gothic"/>
      <family val="2"/>
      <charset val="162"/>
    </font>
    <font>
      <sz val="12"/>
      <color rgb="FFFF0000"/>
      <name val="Century Gothic"/>
      <family val="2"/>
      <charset val="162"/>
    </font>
    <font>
      <b/>
      <sz val="11"/>
      <name val="Century Gothic"/>
      <family val="2"/>
      <charset val="162"/>
    </font>
    <font>
      <b/>
      <u/>
      <sz val="12"/>
      <name val="Century Gothic"/>
      <family val="2"/>
      <charset val="162"/>
    </font>
    <font>
      <sz val="11"/>
      <color rgb="FFFF0000"/>
      <name val="Century Gothic"/>
      <family val="2"/>
      <charset val="162"/>
    </font>
    <font>
      <b/>
      <sz val="11"/>
      <color rgb="FFFF0000"/>
      <name val="Century Gothic"/>
      <family val="2"/>
      <charset val="162"/>
    </font>
    <font>
      <b/>
      <strike/>
      <sz val="11"/>
      <name val="Arial"/>
      <family val="2"/>
    </font>
    <font>
      <sz val="10"/>
      <color rgb="FFFF0000"/>
      <name val="Century Gothic"/>
      <family val="2"/>
      <charset val="162"/>
    </font>
    <font>
      <sz val="10"/>
      <color rgb="FF92D050"/>
      <name val="Century Gothic"/>
      <family val="2"/>
      <charset val="162"/>
    </font>
    <font>
      <sz val="9"/>
      <color rgb="FFFF0000"/>
      <name val="Century Gothic"/>
      <family val="2"/>
      <charset val="162"/>
    </font>
    <font>
      <sz val="11"/>
      <color rgb="FF92D050"/>
      <name val="Century Gothic"/>
      <family val="2"/>
      <charset val="162"/>
    </font>
    <font>
      <sz val="11"/>
      <color rgb="FF0070C0"/>
      <name val="Century Gothic"/>
      <family val="2"/>
      <charset val="162"/>
    </font>
    <font>
      <b/>
      <sz val="11"/>
      <color rgb="FF0070C0"/>
      <name val="Century Gothic"/>
      <family val="2"/>
      <charset val="162"/>
    </font>
    <font>
      <sz val="10"/>
      <color rgb="FF0070C0"/>
      <name val="Century Gothic"/>
      <family val="2"/>
      <charset val="162"/>
    </font>
    <font>
      <sz val="12"/>
      <name val="Century Gothic"/>
      <family val="2"/>
      <charset val="162"/>
    </font>
    <font>
      <sz val="10"/>
      <name val="Arial"/>
      <family val="2"/>
      <charset val="162"/>
    </font>
    <font>
      <sz val="15"/>
      <color rgb="FF222222"/>
      <name val="Calibri"/>
      <family val="2"/>
    </font>
    <font>
      <sz val="11"/>
      <color theme="1"/>
      <name val="Century Gothic"/>
      <family val="2"/>
      <charset val="162"/>
    </font>
    <font>
      <sz val="12"/>
      <name val="Century Gothic"/>
      <family val="1"/>
    </font>
    <font>
      <i/>
      <sz val="11"/>
      <name val="Century Gothic"/>
      <family val="2"/>
      <charset val="162"/>
    </font>
    <font>
      <b/>
      <sz val="11"/>
      <color rgb="FFFFFFFF"/>
      <name val="Century Gothic"/>
      <family val="2"/>
      <charset val="162"/>
    </font>
    <font>
      <sz val="11"/>
      <color rgb="FFFFFFFF"/>
      <name val="Century Gothic"/>
      <family val="2"/>
      <charset val="162"/>
    </font>
    <font>
      <sz val="11"/>
      <color rgb="FF000000"/>
      <name val="Century Gothic"/>
      <family val="2"/>
      <charset val="162"/>
    </font>
    <font>
      <b/>
      <u/>
      <sz val="14"/>
      <color theme="1"/>
      <name val="Century Gothic"/>
      <family val="2"/>
      <charset val="162"/>
    </font>
    <font>
      <b/>
      <sz val="11"/>
      <color theme="1"/>
      <name val="Century Gothic"/>
      <family val="2"/>
      <charset val="162"/>
    </font>
    <font>
      <i/>
      <sz val="11"/>
      <color theme="1"/>
      <name val="Century Gothic"/>
      <family val="2"/>
      <charset val="162"/>
    </font>
    <font>
      <b/>
      <sz val="18"/>
      <color theme="1"/>
      <name val="Century Gothic"/>
      <family val="2"/>
      <charset val="162"/>
    </font>
  </fonts>
  <fills count="6">
    <fill>
      <patternFill patternType="none"/>
    </fill>
    <fill>
      <patternFill patternType="gray125"/>
    </fill>
    <fill>
      <patternFill patternType="solid">
        <fgColor rgb="FF505050"/>
        <bgColor rgb="FF000000"/>
      </patternFill>
    </fill>
    <fill>
      <patternFill patternType="solid">
        <fgColor rgb="FFFFFFFF"/>
        <bgColor rgb="FF000000"/>
      </patternFill>
    </fill>
    <fill>
      <patternFill patternType="solid">
        <fgColor rgb="FFDDDDDD"/>
        <bgColor rgb="FF000000"/>
      </patternFill>
    </fill>
    <fill>
      <patternFill patternType="solid">
        <fgColor rgb="FFFFFF00"/>
        <bgColor rgb="FF000000"/>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
    <xf numFmtId="0" fontId="0" fillId="0" borderId="0"/>
    <xf numFmtId="0" fontId="1" fillId="0" borderId="0" applyNumberFormat="0" applyFill="0" applyBorder="0" applyAlignment="0" applyProtection="0"/>
    <xf numFmtId="0" fontId="4" fillId="0" borderId="0"/>
    <xf numFmtId="0" fontId="21" fillId="0" borderId="0"/>
    <xf numFmtId="44" fontId="4" fillId="0" borderId="0" applyFont="0" applyFill="0" applyBorder="0" applyAlignment="0" applyProtection="0"/>
  </cellStyleXfs>
  <cellXfs count="180">
    <xf numFmtId="0" fontId="0" fillId="0" borderId="0" xfId="0"/>
    <xf numFmtId="0" fontId="3" fillId="0" borderId="0" xfId="0" applyFont="1"/>
    <xf numFmtId="0" fontId="2" fillId="0" borderId="4" xfId="0" applyFont="1" applyBorder="1"/>
    <xf numFmtId="0" fontId="2" fillId="0" borderId="0" xfId="0" applyFont="1" applyAlignment="1">
      <alignment horizontal="center"/>
    </xf>
    <xf numFmtId="0" fontId="2" fillId="0" borderId="0" xfId="0" applyFont="1"/>
    <xf numFmtId="0" fontId="2" fillId="0" borderId="5" xfId="0" applyFont="1" applyBorder="1"/>
    <xf numFmtId="0" fontId="2" fillId="0" borderId="6" xfId="0" applyFont="1" applyBorder="1"/>
    <xf numFmtId="0" fontId="2" fillId="0" borderId="7" xfId="0" applyFont="1" applyBorder="1" applyAlignment="1">
      <alignment horizontal="center"/>
    </xf>
    <xf numFmtId="0" fontId="2" fillId="0" borderId="7" xfId="0" applyFont="1" applyBorder="1"/>
    <xf numFmtId="0" fontId="2" fillId="0" borderId="8" xfId="0" applyFont="1" applyBorder="1"/>
    <xf numFmtId="0" fontId="5" fillId="0" borderId="0" xfId="0" applyFont="1" applyAlignment="1">
      <alignment vertical="center"/>
    </xf>
    <xf numFmtId="0" fontId="6" fillId="0" borderId="9" xfId="2" applyFont="1" applyBorder="1" applyAlignment="1" applyProtection="1">
      <alignment vertical="center" wrapText="1"/>
      <protection locked="0"/>
    </xf>
    <xf numFmtId="0" fontId="7" fillId="0" borderId="0" xfId="2" applyFont="1" applyAlignment="1" applyProtection="1">
      <alignment vertical="center" wrapText="1"/>
      <protection locked="0"/>
    </xf>
    <xf numFmtId="0" fontId="7" fillId="0" borderId="10" xfId="2" applyFont="1" applyBorder="1" applyAlignment="1" applyProtection="1">
      <alignment vertical="center" wrapText="1"/>
      <protection locked="0"/>
    </xf>
    <xf numFmtId="0" fontId="8" fillId="0" borderId="9" xfId="2" applyFont="1" applyBorder="1" applyAlignment="1" applyProtection="1">
      <alignment vertical="center" wrapText="1"/>
      <protection locked="0"/>
    </xf>
    <xf numFmtId="0" fontId="10" fillId="0" borderId="0" xfId="0" applyFont="1" applyAlignment="1">
      <alignment vertical="center" wrapText="1"/>
    </xf>
    <xf numFmtId="0" fontId="10" fillId="0" borderId="10" xfId="0" applyFont="1" applyBorder="1" applyAlignment="1">
      <alignment vertical="center" wrapText="1"/>
    </xf>
    <xf numFmtId="0" fontId="8" fillId="0" borderId="9" xfId="0" applyFont="1" applyBorder="1" applyAlignment="1">
      <alignment vertical="top" wrapText="1"/>
    </xf>
    <xf numFmtId="0" fontId="13" fillId="0" borderId="0" xfId="0" applyFont="1"/>
    <xf numFmtId="0" fontId="14" fillId="0" borderId="0" xfId="0" applyFont="1"/>
    <xf numFmtId="0" fontId="15" fillId="0" borderId="0" xfId="0" applyFont="1" applyAlignment="1">
      <alignment horizontal="left" vertical="top"/>
    </xf>
    <xf numFmtId="0" fontId="11" fillId="0" borderId="0" xfId="0" applyFont="1" applyAlignment="1">
      <alignment vertical="top" wrapText="1"/>
    </xf>
    <xf numFmtId="0" fontId="11" fillId="0" borderId="10" xfId="0" applyFont="1" applyBorder="1" applyAlignment="1">
      <alignment vertical="top" wrapText="1"/>
    </xf>
    <xf numFmtId="0" fontId="16" fillId="0" borderId="0" xfId="0" applyFont="1" applyAlignment="1">
      <alignment vertical="top"/>
    </xf>
    <xf numFmtId="0" fontId="8" fillId="0" borderId="0" xfId="0" applyFont="1" applyAlignment="1">
      <alignment vertical="top" wrapText="1"/>
    </xf>
    <xf numFmtId="0" fontId="8" fillId="0" borderId="10" xfId="0" applyFont="1" applyBorder="1" applyAlignment="1">
      <alignment vertical="top" wrapText="1"/>
    </xf>
    <xf numFmtId="0" fontId="2" fillId="0" borderId="0" xfId="0" applyFont="1" applyAlignment="1">
      <alignment vertical="top"/>
    </xf>
    <xf numFmtId="0" fontId="17" fillId="0" borderId="0" xfId="0" applyFont="1" applyAlignment="1">
      <alignment vertical="top"/>
    </xf>
    <xf numFmtId="0" fontId="18" fillId="0" borderId="11" xfId="0" applyFont="1" applyBorder="1" applyAlignment="1">
      <alignment vertical="top" wrapText="1"/>
    </xf>
    <xf numFmtId="0" fontId="18" fillId="0" borderId="12" xfId="0" applyFont="1" applyBorder="1" applyAlignment="1">
      <alignment vertical="top" wrapText="1"/>
    </xf>
    <xf numFmtId="0" fontId="18" fillId="0" borderId="13" xfId="0" applyFont="1" applyBorder="1" applyAlignment="1">
      <alignment vertical="top" wrapText="1"/>
    </xf>
    <xf numFmtId="0" fontId="19" fillId="0" borderId="0" xfId="0" applyFont="1"/>
    <xf numFmtId="0" fontId="18" fillId="0" borderId="0" xfId="0" applyFont="1" applyAlignment="1">
      <alignment vertical="top" wrapText="1"/>
    </xf>
    <xf numFmtId="0" fontId="3" fillId="0" borderId="0" xfId="0" applyFont="1" applyAlignment="1">
      <alignment vertical="center"/>
    </xf>
    <xf numFmtId="0" fontId="20" fillId="0" borderId="14" xfId="0" applyFont="1" applyBorder="1" applyAlignment="1">
      <alignment vertical="center"/>
    </xf>
    <xf numFmtId="166" fontId="20" fillId="0" borderId="18" xfId="3" applyNumberFormat="1" applyFont="1" applyBorder="1" applyAlignment="1">
      <alignment horizontal="left" vertical="center" wrapText="1"/>
    </xf>
    <xf numFmtId="0" fontId="22" fillId="0" borderId="14" xfId="0" applyFont="1" applyBorder="1" applyAlignment="1">
      <alignment wrapText="1"/>
    </xf>
    <xf numFmtId="0" fontId="20" fillId="0" borderId="0" xfId="0" applyFont="1" applyAlignment="1">
      <alignment wrapText="1"/>
    </xf>
    <xf numFmtId="166" fontId="20" fillId="0" borderId="20" xfId="3" applyNumberFormat="1" applyFont="1" applyBorder="1" applyAlignment="1">
      <alignment horizontal="left" vertical="center" wrapText="1"/>
    </xf>
    <xf numFmtId="0" fontId="22" fillId="0" borderId="19" xfId="0" applyFont="1" applyBorder="1" applyAlignment="1">
      <alignment wrapText="1"/>
    </xf>
    <xf numFmtId="165" fontId="20" fillId="0" borderId="14" xfId="0" applyNumberFormat="1" applyFont="1" applyBorder="1" applyAlignment="1">
      <alignment vertical="center" wrapText="1"/>
    </xf>
    <xf numFmtId="0" fontId="20" fillId="0" borderId="0" xfId="0" applyFont="1"/>
    <xf numFmtId="0" fontId="20" fillId="0" borderId="0" xfId="3" applyFont="1"/>
    <xf numFmtId="0" fontId="20" fillId="0" borderId="0" xfId="0" applyFont="1" applyAlignment="1">
      <alignment vertical="center"/>
    </xf>
    <xf numFmtId="0" fontId="24" fillId="0" borderId="0" xfId="0" applyFont="1" applyAlignment="1">
      <alignment vertical="center" wrapText="1"/>
    </xf>
    <xf numFmtId="166" fontId="20" fillId="0" borderId="16" xfId="3" applyNumberFormat="1" applyFont="1" applyBorder="1" applyAlignment="1">
      <alignment horizontal="left" vertical="center" wrapText="1"/>
    </xf>
    <xf numFmtId="0" fontId="22" fillId="0" borderId="17" xfId="0" applyFont="1" applyBorder="1" applyAlignment="1">
      <alignment wrapText="1"/>
    </xf>
    <xf numFmtId="0" fontId="3" fillId="0" borderId="0" xfId="3" applyFont="1"/>
    <xf numFmtId="43" fontId="8" fillId="0" borderId="0" xfId="0" applyNumberFormat="1" applyFont="1" applyAlignment="1">
      <alignment horizontal="left" vertical="center" wrapText="1"/>
    </xf>
    <xf numFmtId="0" fontId="2" fillId="0" borderId="0" xfId="4" applyNumberFormat="1" applyFont="1" applyFill="1" applyBorder="1" applyAlignment="1">
      <alignment horizontal="center" vertical="center" wrapText="1"/>
    </xf>
    <xf numFmtId="44" fontId="2" fillId="0" borderId="0" xfId="4" applyFont="1" applyFill="1" applyBorder="1" applyAlignment="1">
      <alignment horizontal="left" vertical="center" wrapText="1"/>
    </xf>
    <xf numFmtId="165" fontId="8" fillId="0" borderId="0" xfId="4" applyNumberFormat="1" applyFont="1" applyFill="1" applyBorder="1" applyAlignment="1">
      <alignment horizontal="center" vertical="center" wrapText="1"/>
    </xf>
    <xf numFmtId="44" fontId="8" fillId="0" borderId="0" xfId="0" applyNumberFormat="1" applyFont="1" applyAlignment="1">
      <alignment horizontal="left" vertical="center" wrapText="1"/>
    </xf>
    <xf numFmtId="44" fontId="8" fillId="0" borderId="20" xfId="0" applyNumberFormat="1" applyFont="1" applyBorder="1" applyAlignment="1">
      <alignment horizontal="left" vertical="center" wrapText="1"/>
    </xf>
    <xf numFmtId="44" fontId="2" fillId="0" borderId="13" xfId="4" applyFont="1" applyFill="1" applyBorder="1"/>
    <xf numFmtId="0" fontId="8" fillId="0" borderId="0" xfId="0" applyFont="1"/>
    <xf numFmtId="0" fontId="2" fillId="0" borderId="0" xfId="4" applyNumberFormat="1" applyFont="1" applyFill="1" applyBorder="1" applyAlignment="1">
      <alignment horizontal="center" vertical="center"/>
    </xf>
    <xf numFmtId="0" fontId="2" fillId="0" borderId="7" xfId="4" applyNumberFormat="1" applyFont="1" applyFill="1" applyBorder="1" applyAlignment="1">
      <alignment horizontal="center" vertical="center"/>
    </xf>
    <xf numFmtId="0" fontId="20" fillId="0" borderId="14" xfId="4" applyNumberFormat="1" applyFont="1" applyFill="1" applyBorder="1" applyAlignment="1">
      <alignment horizontal="center" vertical="center"/>
    </xf>
    <xf numFmtId="164" fontId="20" fillId="0" borderId="14" xfId="4" applyNumberFormat="1" applyFont="1" applyFill="1" applyBorder="1" applyAlignment="1">
      <alignment vertical="center"/>
    </xf>
    <xf numFmtId="165" fontId="20" fillId="0" borderId="14" xfId="4" applyNumberFormat="1" applyFont="1" applyFill="1" applyBorder="1" applyAlignment="1">
      <alignment wrapText="1"/>
    </xf>
    <xf numFmtId="0" fontId="20" fillId="0" borderId="19" xfId="4" applyNumberFormat="1" applyFont="1" applyFill="1" applyBorder="1" applyAlignment="1">
      <alignment horizontal="center" vertical="center" wrapText="1"/>
    </xf>
    <xf numFmtId="164" fontId="20" fillId="0" borderId="19" xfId="4" applyNumberFormat="1" applyFont="1" applyFill="1" applyBorder="1" applyAlignment="1">
      <alignment vertical="center" wrapText="1"/>
    </xf>
    <xf numFmtId="0" fontId="20" fillId="3" borderId="0" xfId="0" applyFont="1" applyFill="1" applyAlignment="1">
      <alignment wrapText="1"/>
    </xf>
    <xf numFmtId="43" fontId="26" fillId="0" borderId="0" xfId="0" applyNumberFormat="1" applyFont="1" applyAlignment="1">
      <alignment horizontal="left" vertical="center" wrapText="1"/>
    </xf>
    <xf numFmtId="0" fontId="27" fillId="0" borderId="0" xfId="4" applyNumberFormat="1" applyFont="1" applyFill="1" applyBorder="1" applyAlignment="1">
      <alignment horizontal="center" vertical="center" wrapText="1"/>
    </xf>
    <xf numFmtId="0" fontId="26" fillId="0" borderId="0" xfId="4" applyNumberFormat="1" applyFont="1" applyFill="1" applyBorder="1" applyAlignment="1">
      <alignment horizontal="center" vertical="center" wrapText="1"/>
    </xf>
    <xf numFmtId="44" fontId="27" fillId="0" borderId="0" xfId="4" applyFont="1" applyFill="1" applyBorder="1" applyAlignment="1">
      <alignment horizontal="left" vertical="center" wrapText="1"/>
    </xf>
    <xf numFmtId="164" fontId="26" fillId="0" borderId="0" xfId="0" applyNumberFormat="1" applyFont="1" applyAlignment="1">
      <alignment horizontal="right" vertical="center" wrapText="1"/>
    </xf>
    <xf numFmtId="165" fontId="26" fillId="0" borderId="0" xfId="0" applyNumberFormat="1" applyFont="1" applyAlignment="1">
      <alignment horizontal="left" vertical="center" wrapText="1"/>
    </xf>
    <xf numFmtId="0" fontId="3" fillId="3" borderId="0" xfId="0" applyFont="1" applyFill="1"/>
    <xf numFmtId="14" fontId="26" fillId="2" borderId="15" xfId="0" applyNumberFormat="1" applyFont="1" applyFill="1" applyBorder="1" applyAlignment="1">
      <alignment horizontal="left" vertical="center"/>
    </xf>
    <xf numFmtId="0" fontId="20" fillId="3" borderId="0" xfId="0" applyFont="1" applyFill="1"/>
    <xf numFmtId="0" fontId="20" fillId="0" borderId="19" xfId="4" applyNumberFormat="1" applyFont="1" applyFill="1" applyBorder="1" applyAlignment="1">
      <alignment horizontal="center" vertical="center"/>
    </xf>
    <xf numFmtId="164" fontId="20" fillId="0" borderId="19" xfId="4" applyNumberFormat="1" applyFont="1" applyFill="1" applyBorder="1" applyAlignment="1">
      <alignment vertical="center"/>
    </xf>
    <xf numFmtId="0" fontId="27" fillId="2" borderId="16" xfId="0" applyFont="1" applyFill="1" applyBorder="1" applyAlignment="1">
      <alignment vertical="center"/>
    </xf>
    <xf numFmtId="0" fontId="27" fillId="2" borderId="17" xfId="0" applyFont="1" applyFill="1" applyBorder="1" applyAlignment="1">
      <alignment vertical="center"/>
    </xf>
    <xf numFmtId="0" fontId="28" fillId="3" borderId="14" xfId="0" applyFont="1" applyFill="1" applyBorder="1" applyAlignment="1">
      <alignment vertical="center"/>
    </xf>
    <xf numFmtId="165" fontId="20" fillId="0" borderId="25" xfId="4" applyNumberFormat="1" applyFont="1" applyFill="1" applyBorder="1" applyAlignment="1">
      <alignment vertical="center" wrapText="1"/>
    </xf>
    <xf numFmtId="165" fontId="20" fillId="0" borderId="14" xfId="4" applyNumberFormat="1" applyFont="1" applyFill="1" applyBorder="1" applyAlignment="1">
      <alignment vertical="center" wrapText="1"/>
    </xf>
    <xf numFmtId="0" fontId="8" fillId="0" borderId="0" xfId="4" applyNumberFormat="1" applyFont="1" applyFill="1" applyBorder="1" applyAlignment="1">
      <alignment horizontal="center" vertical="center" wrapText="1"/>
    </xf>
    <xf numFmtId="0" fontId="2" fillId="4" borderId="0" xfId="4" applyNumberFormat="1" applyFont="1" applyFill="1" applyBorder="1" applyAlignment="1">
      <alignment horizontal="center" vertical="center" wrapText="1"/>
    </xf>
    <xf numFmtId="0" fontId="8" fillId="4" borderId="0" xfId="4" applyNumberFormat="1" applyFont="1" applyFill="1" applyBorder="1" applyAlignment="1">
      <alignment horizontal="center" vertical="center" wrapText="1"/>
    </xf>
    <xf numFmtId="44" fontId="2" fillId="4" borderId="0" xfId="4" applyFont="1" applyFill="1" applyBorder="1" applyAlignment="1">
      <alignment horizontal="left" vertical="center" wrapText="1"/>
    </xf>
    <xf numFmtId="164" fontId="8" fillId="4" borderId="27" xfId="4" applyNumberFormat="1" applyFont="1" applyFill="1" applyBorder="1" applyAlignment="1">
      <alignment horizontal="right" vertical="center" wrapText="1"/>
    </xf>
    <xf numFmtId="44" fontId="8" fillId="4" borderId="10" xfId="0" applyNumberFormat="1" applyFont="1" applyFill="1" applyBorder="1" applyAlignment="1">
      <alignment horizontal="left" vertical="center" wrapText="1"/>
    </xf>
    <xf numFmtId="0" fontId="25" fillId="4" borderId="12" xfId="4" applyNumberFormat="1" applyFont="1" applyFill="1" applyBorder="1" applyAlignment="1">
      <alignment horizontal="center"/>
    </xf>
    <xf numFmtId="0" fontId="2" fillId="4" borderId="12" xfId="4" applyNumberFormat="1" applyFont="1" applyFill="1" applyBorder="1" applyAlignment="1">
      <alignment horizontal="center" vertical="center"/>
    </xf>
    <xf numFmtId="44" fontId="25" fillId="4" borderId="12" xfId="4" applyFont="1" applyFill="1" applyBorder="1"/>
    <xf numFmtId="44" fontId="2" fillId="4" borderId="13" xfId="4" applyFont="1" applyFill="1" applyBorder="1"/>
    <xf numFmtId="0" fontId="2" fillId="4" borderId="27" xfId="4" applyNumberFormat="1" applyFont="1" applyFill="1" applyBorder="1" applyAlignment="1">
      <alignment horizontal="center" vertical="center" wrapText="1"/>
    </xf>
    <xf numFmtId="0" fontId="8" fillId="4" borderId="27" xfId="4" applyNumberFormat="1" applyFont="1" applyFill="1" applyBorder="1" applyAlignment="1">
      <alignment horizontal="center" vertical="center" wrapText="1"/>
    </xf>
    <xf numFmtId="44" fontId="2" fillId="4" borderId="27" xfId="4" applyFont="1" applyFill="1" applyBorder="1" applyAlignment="1">
      <alignment horizontal="left" vertical="center" wrapText="1"/>
    </xf>
    <xf numFmtId="44" fontId="8" fillId="4" borderId="20" xfId="0" applyNumberFormat="1" applyFont="1" applyFill="1" applyBorder="1" applyAlignment="1">
      <alignment horizontal="left" vertical="center" wrapText="1"/>
    </xf>
    <xf numFmtId="43" fontId="8" fillId="4" borderId="9" xfId="0" applyNumberFormat="1" applyFont="1" applyFill="1" applyBorder="1" applyAlignment="1">
      <alignment horizontal="left" vertical="center" wrapText="1"/>
    </xf>
    <xf numFmtId="0" fontId="25" fillId="4" borderId="0" xfId="4" applyNumberFormat="1" applyFont="1" applyFill="1" applyBorder="1" applyAlignment="1">
      <alignment horizontal="center"/>
    </xf>
    <xf numFmtId="0" fontId="2" fillId="4" borderId="0" xfId="4" applyNumberFormat="1" applyFont="1" applyFill="1" applyBorder="1" applyAlignment="1">
      <alignment horizontal="center" vertical="center"/>
    </xf>
    <xf numFmtId="44" fontId="25" fillId="4" borderId="0" xfId="4" applyFont="1" applyFill="1" applyBorder="1"/>
    <xf numFmtId="44" fontId="2" fillId="4" borderId="10" xfId="4" applyFont="1" applyFill="1" applyBorder="1"/>
    <xf numFmtId="43" fontId="29" fillId="5" borderId="14" xfId="1" applyNumberFormat="1" applyFont="1" applyFill="1" applyBorder="1" applyAlignment="1">
      <alignment horizontal="center" vertical="center" wrapText="1"/>
    </xf>
    <xf numFmtId="0" fontId="30" fillId="5" borderId="14" xfId="0" applyFont="1" applyFill="1" applyBorder="1" applyAlignment="1">
      <alignment horizontal="center" vertical="center"/>
    </xf>
    <xf numFmtId="0" fontId="30" fillId="5" borderId="14" xfId="4" applyNumberFormat="1" applyFont="1" applyFill="1" applyBorder="1" applyAlignment="1">
      <alignment horizontal="center" vertical="center"/>
    </xf>
    <xf numFmtId="0" fontId="30" fillId="5" borderId="14" xfId="0" applyFont="1" applyFill="1" applyBorder="1" applyAlignment="1">
      <alignment horizontal="center" vertical="center" wrapText="1"/>
    </xf>
    <xf numFmtId="43" fontId="30" fillId="5" borderId="21" xfId="0" applyNumberFormat="1" applyFont="1" applyFill="1" applyBorder="1" applyAlignment="1">
      <alignment horizontal="center" vertical="center"/>
    </xf>
    <xf numFmtId="0" fontId="30" fillId="5" borderId="21" xfId="0" applyFont="1" applyFill="1" applyBorder="1" applyAlignment="1">
      <alignment horizontal="center" vertical="center"/>
    </xf>
    <xf numFmtId="0" fontId="30" fillId="5" borderId="21" xfId="4" applyNumberFormat="1" applyFont="1" applyFill="1" applyBorder="1" applyAlignment="1">
      <alignment horizontal="center" vertical="center"/>
    </xf>
    <xf numFmtId="0" fontId="30" fillId="5" borderId="21" xfId="0" applyFont="1" applyFill="1" applyBorder="1" applyAlignment="1">
      <alignment horizontal="center" vertical="center" wrapText="1"/>
    </xf>
    <xf numFmtId="43" fontId="30" fillId="5" borderId="27" xfId="0" applyNumberFormat="1" applyFont="1" applyFill="1" applyBorder="1" applyAlignment="1">
      <alignment vertical="center" wrapText="1"/>
    </xf>
    <xf numFmtId="43" fontId="30" fillId="5" borderId="20" xfId="0" applyNumberFormat="1" applyFont="1" applyFill="1" applyBorder="1" applyAlignment="1">
      <alignment vertical="center" wrapText="1"/>
    </xf>
    <xf numFmtId="43" fontId="30" fillId="5" borderId="12" xfId="0" applyNumberFormat="1" applyFont="1" applyFill="1" applyBorder="1" applyAlignment="1">
      <alignment vertical="center" wrapText="1"/>
    </xf>
    <xf numFmtId="43" fontId="30" fillId="5" borderId="13" xfId="0" applyNumberFormat="1" applyFont="1" applyFill="1" applyBorder="1" applyAlignment="1">
      <alignment vertical="center" wrapText="1"/>
    </xf>
    <xf numFmtId="43" fontId="30" fillId="5" borderId="15" xfId="0" applyNumberFormat="1" applyFont="1" applyFill="1" applyBorder="1" applyAlignment="1">
      <alignment horizontal="center" vertical="center" wrapText="1"/>
    </xf>
    <xf numFmtId="0" fontId="30" fillId="5" borderId="16" xfId="0" applyFont="1" applyFill="1" applyBorder="1" applyAlignment="1">
      <alignment horizontal="center" vertical="center"/>
    </xf>
    <xf numFmtId="0" fontId="30" fillId="5" borderId="16" xfId="4" applyNumberFormat="1" applyFont="1" applyFill="1" applyBorder="1" applyAlignment="1">
      <alignment horizontal="center" vertical="center"/>
    </xf>
    <xf numFmtId="0" fontId="30" fillId="5" borderId="16" xfId="0" applyFont="1" applyFill="1" applyBorder="1" applyAlignment="1">
      <alignment horizontal="center" vertical="center" wrapText="1"/>
    </xf>
    <xf numFmtId="0" fontId="30" fillId="5" borderId="16" xfId="0" applyFont="1" applyFill="1" applyBorder="1" applyAlignment="1">
      <alignment horizontal="right" vertical="center" wrapText="1"/>
    </xf>
    <xf numFmtId="0" fontId="30" fillId="5" borderId="17" xfId="0" applyFont="1" applyFill="1" applyBorder="1" applyAlignment="1">
      <alignment horizontal="center" vertical="center"/>
    </xf>
    <xf numFmtId="0" fontId="23" fillId="5" borderId="27" xfId="4" applyNumberFormat="1" applyFont="1" applyFill="1" applyBorder="1" applyAlignment="1">
      <alignment horizontal="center" vertical="center" wrapText="1"/>
    </xf>
    <xf numFmtId="0" fontId="30" fillId="5" borderId="27" xfId="4" applyNumberFormat="1" applyFont="1" applyFill="1" applyBorder="1" applyAlignment="1">
      <alignment horizontal="center" vertical="center" wrapText="1"/>
    </xf>
    <xf numFmtId="44" fontId="23" fillId="5" borderId="27" xfId="4" applyFont="1" applyFill="1" applyBorder="1" applyAlignment="1">
      <alignment horizontal="left" vertical="center" wrapText="1"/>
    </xf>
    <xf numFmtId="44" fontId="30" fillId="5" borderId="20" xfId="0" applyNumberFormat="1" applyFont="1" applyFill="1" applyBorder="1" applyAlignment="1">
      <alignment horizontal="left" vertical="center" wrapText="1"/>
    </xf>
    <xf numFmtId="0" fontId="31" fillId="5" borderId="12" xfId="4" applyNumberFormat="1" applyFont="1" applyFill="1" applyBorder="1" applyAlignment="1">
      <alignment horizontal="center"/>
    </xf>
    <xf numFmtId="0" fontId="23" fillId="5" borderId="12" xfId="4" applyNumberFormat="1" applyFont="1" applyFill="1" applyBorder="1" applyAlignment="1">
      <alignment horizontal="center" vertical="center"/>
    </xf>
    <xf numFmtId="44" fontId="31" fillId="5" borderId="12" xfId="4" applyFont="1" applyFill="1" applyBorder="1"/>
    <xf numFmtId="44" fontId="23" fillId="5" borderId="13" xfId="4" applyFont="1" applyFill="1" applyBorder="1"/>
    <xf numFmtId="43" fontId="8" fillId="0" borderId="27" xfId="0" applyNumberFormat="1" applyFont="1" applyBorder="1" applyAlignment="1">
      <alignment horizontal="left" vertical="center" wrapText="1"/>
    </xf>
    <xf numFmtId="43" fontId="8" fillId="4" borderId="26" xfId="0" applyNumberFormat="1" applyFont="1" applyFill="1" applyBorder="1" applyAlignment="1">
      <alignment horizontal="left" vertical="center" wrapText="1"/>
    </xf>
    <xf numFmtId="43" fontId="8" fillId="4" borderId="11" xfId="0" applyNumberFormat="1" applyFont="1" applyFill="1" applyBorder="1" applyAlignment="1">
      <alignment horizontal="left" vertical="center" wrapText="1"/>
    </xf>
    <xf numFmtId="164" fontId="8" fillId="4" borderId="27" xfId="4" applyNumberFormat="1" applyFont="1" applyFill="1" applyBorder="1" applyAlignment="1">
      <alignment horizontal="right" vertical="center" wrapText="1"/>
    </xf>
    <xf numFmtId="43" fontId="30" fillId="5" borderId="26" xfId="0" applyNumberFormat="1" applyFont="1" applyFill="1" applyBorder="1" applyAlignment="1">
      <alignment horizontal="left" vertical="center" wrapText="1"/>
    </xf>
    <xf numFmtId="43" fontId="30" fillId="5" borderId="11" xfId="0" applyNumberFormat="1" applyFont="1" applyFill="1" applyBorder="1" applyAlignment="1">
      <alignment horizontal="left" vertical="center" wrapText="1"/>
    </xf>
    <xf numFmtId="164" fontId="30" fillId="5" borderId="27" xfId="4" applyNumberFormat="1" applyFont="1" applyFill="1" applyBorder="1" applyAlignment="1">
      <alignment horizontal="right" vertical="center" wrapText="1"/>
    </xf>
    <xf numFmtId="43" fontId="8" fillId="0" borderId="26" xfId="0" applyNumberFormat="1" applyFont="1" applyBorder="1" applyAlignment="1">
      <alignment horizontal="left" vertical="center" wrapText="1"/>
    </xf>
    <xf numFmtId="43" fontId="8" fillId="0" borderId="11" xfId="0" applyNumberFormat="1" applyFont="1" applyBorder="1" applyAlignment="1">
      <alignment horizontal="left" vertical="center" wrapText="1"/>
    </xf>
    <xf numFmtId="0" fontId="2" fillId="0" borderId="27" xfId="4" applyNumberFormat="1" applyFont="1" applyFill="1" applyBorder="1" applyAlignment="1">
      <alignment horizontal="center" vertical="center" wrapText="1"/>
    </xf>
    <xf numFmtId="0" fontId="2" fillId="0" borderId="16" xfId="4" applyNumberFormat="1" applyFont="1" applyFill="1" applyBorder="1" applyAlignment="1">
      <alignment horizontal="center" vertical="center" wrapText="1"/>
    </xf>
    <xf numFmtId="164" fontId="8" fillId="0" borderId="27" xfId="4" applyNumberFormat="1" applyFont="1" applyFill="1" applyBorder="1" applyAlignment="1">
      <alignment horizontal="right" vertical="center" wrapText="1"/>
    </xf>
    <xf numFmtId="164" fontId="8" fillId="0" borderId="16" xfId="4" applyNumberFormat="1" applyFont="1" applyFill="1" applyBorder="1" applyAlignment="1">
      <alignment horizontal="right" vertical="center" wrapText="1"/>
    </xf>
    <xf numFmtId="0" fontId="18" fillId="0" borderId="22" xfId="0" applyFont="1" applyBorder="1" applyAlignment="1">
      <alignment horizontal="center" vertical="top" wrapText="1"/>
    </xf>
    <xf numFmtId="0" fontId="18" fillId="0" borderId="23" xfId="0" applyFont="1" applyBorder="1" applyAlignment="1">
      <alignment horizontal="center" vertical="top" wrapText="1"/>
    </xf>
    <xf numFmtId="0" fontId="18" fillId="0" borderId="24" xfId="0" applyFont="1" applyBorder="1" applyAlignment="1">
      <alignment horizontal="center" vertical="top" wrapText="1"/>
    </xf>
    <xf numFmtId="0" fontId="30" fillId="5" borderId="15" xfId="0" applyFont="1" applyFill="1" applyBorder="1" applyAlignment="1">
      <alignment horizontal="left" vertical="center"/>
    </xf>
    <xf numFmtId="0" fontId="30" fillId="5" borderId="16" xfId="0" applyFont="1" applyFill="1" applyBorder="1" applyAlignment="1">
      <alignment horizontal="left" vertical="center"/>
    </xf>
    <xf numFmtId="14" fontId="26" fillId="2" borderId="15" xfId="0" applyNumberFormat="1" applyFont="1" applyFill="1" applyBorder="1" applyAlignment="1">
      <alignment horizontal="left" vertical="center"/>
    </xf>
    <xf numFmtId="14" fontId="26" fillId="2" borderId="16" xfId="0" applyNumberFormat="1" applyFont="1" applyFill="1" applyBorder="1" applyAlignment="1">
      <alignment horizontal="left" vertical="center"/>
    </xf>
    <xf numFmtId="14" fontId="26" fillId="2" borderId="17" xfId="0" applyNumberFormat="1" applyFont="1" applyFill="1" applyBorder="1" applyAlignment="1">
      <alignment horizontal="left" vertical="center"/>
    </xf>
    <xf numFmtId="164" fontId="30" fillId="5" borderId="27" xfId="0" applyNumberFormat="1" applyFont="1" applyFill="1" applyBorder="1" applyAlignment="1">
      <alignment horizontal="right" vertical="center" wrapText="1"/>
    </xf>
    <xf numFmtId="164" fontId="30" fillId="5" borderId="12" xfId="0" applyNumberFormat="1" applyFont="1" applyFill="1" applyBorder="1" applyAlignment="1">
      <alignment horizontal="right" vertical="center" wrapText="1"/>
    </xf>
    <xf numFmtId="0" fontId="26" fillId="2" borderId="15" xfId="0" applyFont="1" applyFill="1" applyBorder="1" applyAlignment="1">
      <alignment horizontal="left" vertical="center"/>
    </xf>
    <xf numFmtId="0" fontId="26" fillId="2" borderId="16" xfId="0" applyFont="1" applyFill="1" applyBorder="1" applyAlignment="1">
      <alignment horizontal="left" vertical="center"/>
    </xf>
    <xf numFmtId="0" fontId="26" fillId="2" borderId="17" xfId="0" applyFont="1" applyFill="1" applyBorder="1" applyAlignment="1">
      <alignment horizontal="left" vertical="center"/>
    </xf>
    <xf numFmtId="43" fontId="30" fillId="5" borderId="19" xfId="0" applyNumberFormat="1" applyFont="1" applyFill="1" applyBorder="1" applyAlignment="1">
      <alignment horizontal="left" vertical="center" wrapText="1"/>
    </xf>
    <xf numFmtId="43" fontId="30" fillId="5" borderId="21" xfId="0" applyNumberFormat="1" applyFont="1" applyFill="1" applyBorder="1" applyAlignment="1">
      <alignment horizontal="left" vertical="center" wrapText="1"/>
    </xf>
    <xf numFmtId="0" fontId="23" fillId="5" borderId="19" xfId="4" applyNumberFormat="1" applyFont="1" applyFill="1" applyBorder="1" applyAlignment="1">
      <alignment horizontal="center" vertical="center" wrapText="1"/>
    </xf>
    <xf numFmtId="0" fontId="23" fillId="5" borderId="21" xfId="4" applyNumberFormat="1" applyFont="1" applyFill="1" applyBorder="1" applyAlignment="1">
      <alignment horizontal="center" vertical="center" wrapText="1"/>
    </xf>
    <xf numFmtId="0" fontId="30" fillId="5" borderId="19" xfId="4" applyNumberFormat="1" applyFont="1" applyFill="1" applyBorder="1" applyAlignment="1">
      <alignment horizontal="center" vertical="center" wrapText="1"/>
    </xf>
    <xf numFmtId="0" fontId="30" fillId="5" borderId="21" xfId="4" applyNumberFormat="1" applyFont="1" applyFill="1" applyBorder="1" applyAlignment="1">
      <alignment horizontal="center" vertical="center" wrapText="1"/>
    </xf>
    <xf numFmtId="44" fontId="23" fillId="5" borderId="19" xfId="4" applyFont="1" applyFill="1" applyBorder="1" applyAlignment="1">
      <alignment horizontal="left" vertical="center" wrapText="1"/>
    </xf>
    <xf numFmtId="44" fontId="23" fillId="5" borderId="21" xfId="4" applyFont="1" applyFill="1" applyBorder="1" applyAlignment="1">
      <alignment horizontal="left" vertical="center" wrapText="1"/>
    </xf>
    <xf numFmtId="164" fontId="30" fillId="5" borderId="19" xfId="0" applyNumberFormat="1" applyFont="1" applyFill="1" applyBorder="1" applyAlignment="1">
      <alignment horizontal="right" vertical="center" wrapText="1"/>
    </xf>
    <xf numFmtId="164" fontId="30" fillId="5" borderId="21" xfId="0" applyNumberFormat="1" applyFont="1" applyFill="1" applyBorder="1" applyAlignment="1">
      <alignment horizontal="right" vertical="center" wrapText="1"/>
    </xf>
    <xf numFmtId="165" fontId="30" fillId="5" borderId="19" xfId="0" applyNumberFormat="1" applyFont="1" applyFill="1" applyBorder="1" applyAlignment="1">
      <alignment horizontal="left" vertical="center" wrapText="1"/>
    </xf>
    <xf numFmtId="165" fontId="30" fillId="5" borderId="21" xfId="0" applyNumberFormat="1" applyFont="1" applyFill="1" applyBorder="1" applyAlignment="1">
      <alignment horizontal="left" vertical="center" wrapText="1"/>
    </xf>
    <xf numFmtId="0" fontId="7" fillId="0" borderId="0" xfId="2" applyFont="1" applyAlignment="1" applyProtection="1">
      <alignment horizontal="left" vertical="center" wrapText="1"/>
      <protection locked="0"/>
    </xf>
    <xf numFmtId="0" fontId="7" fillId="0" borderId="10" xfId="2" applyFont="1" applyBorder="1" applyAlignment="1" applyProtection="1">
      <alignment horizontal="left" vertical="center" wrapText="1"/>
      <protection locked="0"/>
    </xf>
    <xf numFmtId="0" fontId="8" fillId="0" borderId="9" xfId="2" applyFont="1" applyBorder="1" applyAlignment="1" applyProtection="1">
      <alignment vertical="center" wrapText="1"/>
      <protection locked="0"/>
    </xf>
    <xf numFmtId="0" fontId="8" fillId="0" borderId="0" xfId="2" applyFont="1" applyAlignment="1" applyProtection="1">
      <alignment vertical="center" wrapText="1"/>
      <protection locked="0"/>
    </xf>
    <xf numFmtId="0" fontId="8" fillId="0" borderId="10" xfId="2" applyFont="1" applyBorder="1" applyAlignment="1" applyProtection="1">
      <alignment vertical="center" wrapText="1"/>
      <protection locked="0"/>
    </xf>
    <xf numFmtId="0" fontId="8" fillId="0" borderId="9" xfId="0" applyFont="1" applyBorder="1" applyAlignment="1">
      <alignment vertical="top" wrapText="1"/>
    </xf>
    <xf numFmtId="0" fontId="8" fillId="0" borderId="0" xfId="0" applyFont="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2" fillId="5" borderId="9" xfId="0" applyFont="1" applyFill="1" applyBorder="1" applyAlignment="1">
      <alignment horizontal="center" vertical="center"/>
    </xf>
    <xf numFmtId="0" fontId="32" fillId="5" borderId="0" xfId="0" applyFont="1" applyFill="1" applyAlignment="1">
      <alignment horizontal="center" vertical="center"/>
    </xf>
    <xf numFmtId="0" fontId="32" fillId="5" borderId="10" xfId="0" applyFont="1" applyFill="1" applyBorder="1" applyAlignment="1">
      <alignment horizontal="center" vertical="center"/>
    </xf>
    <xf numFmtId="0" fontId="7" fillId="0" borderId="0" xfId="2" applyFont="1" applyAlignment="1" applyProtection="1">
      <alignment horizontal="left" vertical="center"/>
      <protection locked="0"/>
    </xf>
    <xf numFmtId="0" fontId="7" fillId="0" borderId="10" xfId="2" applyFont="1" applyBorder="1" applyAlignment="1" applyProtection="1">
      <alignment horizontal="left" vertical="center"/>
      <protection locked="0"/>
    </xf>
  </cellXfs>
  <cellStyles count="5">
    <cellStyle name="Currency 2 2" xfId="4" xr:uid="{A8A43AED-7B4C-F549-BFBB-07562AC4DDC7}"/>
    <cellStyle name="Hyperlink" xfId="1" builtinId="8"/>
    <cellStyle name="Normal" xfId="0" builtinId="0"/>
    <cellStyle name="Normal 2" xfId="2" xr:uid="{3C682E66-40D9-1542-B1E7-850FC0036F99}"/>
    <cellStyle name="Normal 5" xfId="3" xr:uid="{9AF45939-36D3-1E4F-B2A5-3BFFF80F45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5</xdr:col>
      <xdr:colOff>2663831</xdr:colOff>
      <xdr:row>1</xdr:row>
      <xdr:rowOff>165100</xdr:rowOff>
    </xdr:to>
    <xdr:pic>
      <xdr:nvPicPr>
        <xdr:cNvPr id="6" name="Obrázek 2">
          <a:extLst>
            <a:ext uri="{FF2B5EF4-FFF2-40B4-BE49-F238E27FC236}">
              <a16:creationId xmlns:a16="http://schemas.microsoft.com/office/drawing/2014/main" id="{95C0F9DE-BF17-6E40-A7AA-AA05640F7B1D}"/>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0817231" cy="218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tgtravel-my.sharepoint.com/Users/anush/Downloads/Rising%20Global%20Events_MAY%202025.xlsx" TargetMode="External"/><Relationship Id="rId1" Type="http://schemas.openxmlformats.org/officeDocument/2006/relationships/externalLinkPath" Target="https://litgtravel-my.sharepoint.com/Users/anush/Downloads/Rising%20Global%20Events_MAY%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STANBUL 4 NIGHTS"/>
      <sheetName val="SELLING ISTANBUL 4 NIGHTS (2)"/>
    </sheetNames>
    <sheetDataSet>
      <sheetData sheetId="0">
        <row r="23">
          <cell r="D23">
            <v>165</v>
          </cell>
        </row>
        <row r="24">
          <cell r="D24">
            <v>180</v>
          </cell>
        </row>
        <row r="25">
          <cell r="D25">
            <v>110</v>
          </cell>
        </row>
        <row r="26">
          <cell r="D26">
            <v>13200</v>
          </cell>
        </row>
        <row r="27">
          <cell r="D27">
            <v>6000</v>
          </cell>
        </row>
        <row r="33">
          <cell r="D33">
            <v>165</v>
          </cell>
        </row>
        <row r="34">
          <cell r="D34">
            <v>175</v>
          </cell>
        </row>
        <row r="35">
          <cell r="D35">
            <v>300</v>
          </cell>
        </row>
        <row r="36">
          <cell r="D36">
            <v>13200</v>
          </cell>
        </row>
        <row r="37">
          <cell r="D37">
            <v>6000</v>
          </cell>
        </row>
        <row r="43">
          <cell r="D43">
            <v>95</v>
          </cell>
        </row>
        <row r="44">
          <cell r="D44">
            <v>95</v>
          </cell>
        </row>
        <row r="45">
          <cell r="D45">
            <v>90</v>
          </cell>
        </row>
        <row r="46">
          <cell r="D46">
            <v>13200</v>
          </cell>
        </row>
        <row r="47">
          <cell r="D47">
            <v>6000</v>
          </cell>
        </row>
        <row r="53">
          <cell r="D53">
            <v>155</v>
          </cell>
        </row>
        <row r="54">
          <cell r="D54">
            <v>175</v>
          </cell>
        </row>
        <row r="55">
          <cell r="D55">
            <v>130</v>
          </cell>
        </row>
        <row r="56">
          <cell r="D56">
            <v>13200</v>
          </cell>
        </row>
        <row r="57">
          <cell r="D57">
            <v>6000</v>
          </cell>
        </row>
        <row r="66">
          <cell r="D66">
            <v>830</v>
          </cell>
        </row>
        <row r="67">
          <cell r="D67">
            <v>33</v>
          </cell>
        </row>
        <row r="68">
          <cell r="D68">
            <v>80</v>
          </cell>
        </row>
        <row r="70">
          <cell r="D70">
            <v>10</v>
          </cell>
        </row>
        <row r="71">
          <cell r="D71">
            <v>40</v>
          </cell>
        </row>
        <row r="72">
          <cell r="D72">
            <v>20</v>
          </cell>
        </row>
        <row r="73">
          <cell r="D73">
            <v>5</v>
          </cell>
        </row>
        <row r="74">
          <cell r="D74">
            <v>70</v>
          </cell>
        </row>
        <row r="76">
          <cell r="D76">
            <v>75</v>
          </cell>
        </row>
        <row r="77">
          <cell r="D77">
            <v>25</v>
          </cell>
        </row>
        <row r="78">
          <cell r="D78">
            <v>32</v>
          </cell>
        </row>
        <row r="79">
          <cell r="D79">
            <v>49</v>
          </cell>
        </row>
        <row r="81">
          <cell r="D81">
            <v>47</v>
          </cell>
        </row>
        <row r="82">
          <cell r="D82">
            <v>33</v>
          </cell>
        </row>
        <row r="84">
          <cell r="D84">
            <v>32</v>
          </cell>
        </row>
        <row r="85">
          <cell r="D85">
            <v>0</v>
          </cell>
        </row>
        <row r="86">
          <cell r="D86">
            <v>750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radissonhotels.com/en-us/hotels/radisson-individuals-royan-hagia-sophia-istanbu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8AB4-C524-6143-8CEA-B985797C8C80}">
  <dimension ref="A1:N151"/>
  <sheetViews>
    <sheetView showGridLines="0" tabSelected="1" workbookViewId="0">
      <selection activeCell="D111" sqref="D111"/>
    </sheetView>
  </sheetViews>
  <sheetFormatPr baseColWidth="10" defaultColWidth="8.83203125" defaultRowHeight="14" x14ac:dyDescent="0.15"/>
  <cols>
    <col min="1" max="1" width="61" style="4" customWidth="1"/>
    <col min="2" max="2" width="8.5" style="3" bestFit="1" customWidth="1"/>
    <col min="3" max="3" width="9.1640625" style="56" customWidth="1"/>
    <col min="4" max="4" width="13.83203125" style="4" customWidth="1"/>
    <col min="5" max="5" width="14.5" style="4" customWidth="1"/>
    <col min="6" max="6" width="53.1640625" style="4" customWidth="1"/>
    <col min="7" max="16384" width="8.83203125" style="1"/>
  </cols>
  <sheetData>
    <row r="1" spans="1:8" ht="159" customHeight="1" x14ac:dyDescent="0.15">
      <c r="A1" s="172"/>
      <c r="B1" s="173"/>
      <c r="C1" s="173"/>
      <c r="D1" s="173"/>
      <c r="E1" s="173"/>
      <c r="F1" s="174"/>
    </row>
    <row r="2" spans="1:8" x14ac:dyDescent="0.15">
      <c r="A2" s="2"/>
      <c r="F2" s="5"/>
    </row>
    <row r="3" spans="1:8" x14ac:dyDescent="0.15">
      <c r="A3" s="2"/>
      <c r="F3" s="5"/>
    </row>
    <row r="4" spans="1:8" ht="15" thickBot="1" x14ac:dyDescent="0.2">
      <c r="A4" s="6"/>
      <c r="B4" s="7"/>
      <c r="C4" s="57"/>
      <c r="D4" s="8"/>
      <c r="E4" s="8"/>
      <c r="F4" s="9"/>
    </row>
    <row r="5" spans="1:8" ht="23" x14ac:dyDescent="0.15">
      <c r="A5" s="175" t="s">
        <v>0</v>
      </c>
      <c r="B5" s="176"/>
      <c r="C5" s="176"/>
      <c r="D5" s="176"/>
      <c r="E5" s="176"/>
      <c r="F5" s="177"/>
      <c r="G5" s="10"/>
    </row>
    <row r="6" spans="1:8" ht="17" x14ac:dyDescent="0.15">
      <c r="A6" s="11" t="s">
        <v>1</v>
      </c>
      <c r="B6" s="178" t="s">
        <v>92</v>
      </c>
      <c r="C6" s="178"/>
      <c r="D6" s="178"/>
      <c r="E6" s="178"/>
      <c r="F6" s="179"/>
    </row>
    <row r="7" spans="1:8" ht="17" x14ac:dyDescent="0.15">
      <c r="A7" s="11" t="s">
        <v>2</v>
      </c>
      <c r="B7" s="178" t="s">
        <v>3</v>
      </c>
      <c r="C7" s="178"/>
      <c r="D7" s="178"/>
      <c r="E7" s="178"/>
      <c r="F7" s="179"/>
    </row>
    <row r="8" spans="1:8" ht="17" x14ac:dyDescent="0.15">
      <c r="A8" s="11" t="s">
        <v>4</v>
      </c>
      <c r="B8" s="178" t="s">
        <v>5</v>
      </c>
      <c r="C8" s="178"/>
      <c r="D8" s="178"/>
      <c r="E8" s="178"/>
      <c r="F8" s="179"/>
    </row>
    <row r="9" spans="1:8" ht="17" x14ac:dyDescent="0.15">
      <c r="A9" s="11" t="s">
        <v>6</v>
      </c>
      <c r="B9" s="178" t="s">
        <v>7</v>
      </c>
      <c r="C9" s="178"/>
      <c r="D9" s="178"/>
      <c r="E9" s="178"/>
      <c r="F9" s="179"/>
    </row>
    <row r="10" spans="1:8" ht="17" x14ac:dyDescent="0.15">
      <c r="A10" s="11" t="s">
        <v>8</v>
      </c>
      <c r="B10" s="163" t="s">
        <v>93</v>
      </c>
      <c r="C10" s="163"/>
      <c r="D10" s="163"/>
      <c r="E10" s="163"/>
      <c r="F10" s="164"/>
    </row>
    <row r="11" spans="1:8" ht="16" x14ac:dyDescent="0.15">
      <c r="A11" s="11"/>
      <c r="B11" s="12"/>
      <c r="C11" s="12"/>
      <c r="D11" s="12"/>
      <c r="E11" s="12"/>
      <c r="F11" s="13"/>
    </row>
    <row r="12" spans="1:8" ht="17" x14ac:dyDescent="0.15">
      <c r="A12" s="14" t="s">
        <v>9</v>
      </c>
      <c r="B12" s="15"/>
      <c r="C12" s="15"/>
      <c r="D12" s="15"/>
      <c r="E12" s="15"/>
      <c r="F12" s="16"/>
    </row>
    <row r="13" spans="1:8" ht="16" x14ac:dyDescent="0.15">
      <c r="A13" s="17" t="s">
        <v>10</v>
      </c>
      <c r="B13" s="15"/>
      <c r="C13" s="15"/>
      <c r="D13" s="15"/>
      <c r="E13" s="15"/>
      <c r="F13" s="16"/>
      <c r="G13" s="18"/>
      <c r="H13" s="19"/>
    </row>
    <row r="14" spans="1:8" ht="16.5" customHeight="1" x14ac:dyDescent="0.15">
      <c r="A14" s="17" t="s">
        <v>11</v>
      </c>
      <c r="B14" s="20" t="s">
        <v>12</v>
      </c>
      <c r="C14" s="21"/>
      <c r="D14" s="21"/>
      <c r="E14" s="21"/>
      <c r="F14" s="22"/>
    </row>
    <row r="15" spans="1:8" ht="16.5" customHeight="1" x14ac:dyDescent="0.15">
      <c r="A15" s="17"/>
      <c r="B15" s="23"/>
      <c r="C15" s="24"/>
      <c r="D15" s="24"/>
      <c r="E15" s="24"/>
      <c r="F15" s="25"/>
    </row>
    <row r="16" spans="1:8" s="26" customFormat="1" x14ac:dyDescent="0.2">
      <c r="A16" s="165" t="s">
        <v>13</v>
      </c>
      <c r="B16" s="166"/>
      <c r="C16" s="166"/>
      <c r="D16" s="166"/>
      <c r="E16" s="166"/>
      <c r="F16" s="167"/>
      <c r="G16" s="23"/>
    </row>
    <row r="17" spans="1:8" s="26" customFormat="1" x14ac:dyDescent="0.2">
      <c r="A17" s="168" t="s">
        <v>14</v>
      </c>
      <c r="B17" s="169"/>
      <c r="C17" s="170"/>
      <c r="D17" s="170"/>
      <c r="E17" s="170"/>
      <c r="F17" s="171"/>
      <c r="G17" s="23"/>
    </row>
    <row r="18" spans="1:8" s="26" customFormat="1" x14ac:dyDescent="0.2">
      <c r="A18" s="168"/>
      <c r="B18" s="169"/>
      <c r="C18" s="170" t="s">
        <v>15</v>
      </c>
      <c r="D18" s="170"/>
      <c r="E18" s="170"/>
      <c r="F18" s="171"/>
      <c r="G18" s="27"/>
    </row>
    <row r="19" spans="1:8" x14ac:dyDescent="0.15">
      <c r="A19" s="28"/>
      <c r="B19" s="29"/>
      <c r="C19" s="29"/>
      <c r="D19" s="29"/>
      <c r="E19" s="29"/>
      <c r="F19" s="30"/>
      <c r="G19" s="31"/>
    </row>
    <row r="20" spans="1:8" ht="17" customHeight="1" x14ac:dyDescent="0.15">
      <c r="A20" s="32"/>
      <c r="B20" s="32"/>
      <c r="C20" s="32"/>
      <c r="D20" s="32"/>
      <c r="E20" s="32"/>
      <c r="F20" s="32"/>
    </row>
    <row r="21" spans="1:8" s="33" customFormat="1" ht="19" x14ac:dyDescent="0.2">
      <c r="A21" s="99" t="s">
        <v>16</v>
      </c>
      <c r="B21" s="100" t="s">
        <v>17</v>
      </c>
      <c r="C21" s="101" t="s">
        <v>18</v>
      </c>
      <c r="D21" s="102" t="s">
        <v>19</v>
      </c>
      <c r="E21" s="100" t="s">
        <v>20</v>
      </c>
      <c r="F21" s="100" t="s">
        <v>21</v>
      </c>
    </row>
    <row r="22" spans="1:8" x14ac:dyDescent="0.15">
      <c r="A22" s="148" t="s">
        <v>22</v>
      </c>
      <c r="B22" s="149"/>
      <c r="C22" s="149"/>
      <c r="D22" s="149"/>
      <c r="E22" s="149"/>
      <c r="F22" s="150"/>
    </row>
    <row r="23" spans="1:8" ht="34" x14ac:dyDescent="0.2">
      <c r="A23" s="34" t="s">
        <v>23</v>
      </c>
      <c r="B23" s="58">
        <v>4</v>
      </c>
      <c r="C23" s="58">
        <v>5</v>
      </c>
      <c r="D23" s="59">
        <f>'[1]ISTANBUL 4 NIGHTS'!D23*102%</f>
        <v>168.3</v>
      </c>
      <c r="E23" s="59">
        <f t="shared" ref="E23:E24" si="0">B23*C23*D23</f>
        <v>3366</v>
      </c>
      <c r="F23" s="60" t="s">
        <v>24</v>
      </c>
    </row>
    <row r="24" spans="1:8" ht="34" x14ac:dyDescent="0.2">
      <c r="A24" s="34" t="s">
        <v>25</v>
      </c>
      <c r="B24" s="58">
        <v>4</v>
      </c>
      <c r="C24" s="58">
        <v>90</v>
      </c>
      <c r="D24" s="59">
        <f>'[1]ISTANBUL 4 NIGHTS'!D24*102%</f>
        <v>183.6</v>
      </c>
      <c r="E24" s="59">
        <f t="shared" si="0"/>
        <v>66096</v>
      </c>
      <c r="F24" s="60" t="s">
        <v>24</v>
      </c>
    </row>
    <row r="25" spans="1:8" s="37" customFormat="1" ht="42" x14ac:dyDescent="0.25">
      <c r="A25" s="35" t="s">
        <v>26</v>
      </c>
      <c r="B25" s="61">
        <v>0</v>
      </c>
      <c r="C25" s="61">
        <v>190</v>
      </c>
      <c r="D25" s="59">
        <f>'[1]ISTANBUL 4 NIGHTS'!D25*102%</f>
        <v>112.2</v>
      </c>
      <c r="E25" s="62">
        <f>D25*C25*B25</f>
        <v>0</v>
      </c>
      <c r="F25" s="36" t="s">
        <v>27</v>
      </c>
      <c r="G25" s="63"/>
      <c r="H25" s="63"/>
    </row>
    <row r="26" spans="1:8" s="37" customFormat="1" ht="126" x14ac:dyDescent="0.25">
      <c r="A26" s="38" t="s">
        <v>28</v>
      </c>
      <c r="B26" s="61">
        <v>0</v>
      </c>
      <c r="C26" s="61">
        <v>1</v>
      </c>
      <c r="D26" s="59">
        <f>'[1]ISTANBUL 4 NIGHTS'!D26*102%</f>
        <v>13464</v>
      </c>
      <c r="E26" s="62">
        <f>D26*C26*B26</f>
        <v>0</v>
      </c>
      <c r="F26" s="39" t="s">
        <v>29</v>
      </c>
      <c r="G26" s="63"/>
      <c r="H26" s="63"/>
    </row>
    <row r="27" spans="1:8" s="37" customFormat="1" ht="21" x14ac:dyDescent="0.25">
      <c r="A27" s="38" t="s">
        <v>28</v>
      </c>
      <c r="B27" s="61">
        <v>0</v>
      </c>
      <c r="C27" s="61">
        <v>1</v>
      </c>
      <c r="D27" s="59">
        <f>'[1]ISTANBUL 4 NIGHTS'!D27*102%</f>
        <v>6120</v>
      </c>
      <c r="E27" s="62">
        <f>D27*C27*B27</f>
        <v>0</v>
      </c>
      <c r="F27" s="39" t="s">
        <v>30</v>
      </c>
      <c r="G27" s="63"/>
      <c r="H27" s="63"/>
    </row>
    <row r="28" spans="1:8" ht="13.5" customHeight="1" x14ac:dyDescent="0.15">
      <c r="A28" s="151" t="s">
        <v>31</v>
      </c>
      <c r="B28" s="153"/>
      <c r="C28" s="155"/>
      <c r="D28" s="157"/>
      <c r="E28" s="159">
        <f>E26+E25+E24+E23+E27</f>
        <v>69462</v>
      </c>
      <c r="F28" s="161"/>
    </row>
    <row r="29" spans="1:8" ht="13.5" customHeight="1" x14ac:dyDescent="0.15">
      <c r="A29" s="152"/>
      <c r="B29" s="154"/>
      <c r="C29" s="156"/>
      <c r="D29" s="158"/>
      <c r="E29" s="160"/>
      <c r="F29" s="162"/>
    </row>
    <row r="30" spans="1:8" x14ac:dyDescent="0.15">
      <c r="A30" s="32"/>
      <c r="B30" s="32"/>
      <c r="C30" s="32"/>
      <c r="D30" s="32"/>
      <c r="E30" s="32"/>
      <c r="F30" s="32"/>
    </row>
    <row r="31" spans="1:8" s="33" customFormat="1" ht="19" x14ac:dyDescent="0.2">
      <c r="A31" s="99" t="s">
        <v>32</v>
      </c>
      <c r="B31" s="100" t="s">
        <v>17</v>
      </c>
      <c r="C31" s="101" t="s">
        <v>18</v>
      </c>
      <c r="D31" s="102" t="s">
        <v>19</v>
      </c>
      <c r="E31" s="100" t="s">
        <v>20</v>
      </c>
      <c r="F31" s="100" t="s">
        <v>21</v>
      </c>
    </row>
    <row r="32" spans="1:8" x14ac:dyDescent="0.15">
      <c r="A32" s="148" t="s">
        <v>22</v>
      </c>
      <c r="B32" s="149"/>
      <c r="C32" s="149"/>
      <c r="D32" s="149"/>
      <c r="E32" s="149"/>
      <c r="F32" s="150"/>
    </row>
    <row r="33" spans="1:8" ht="34" x14ac:dyDescent="0.2">
      <c r="A33" s="34" t="s">
        <v>23</v>
      </c>
      <c r="B33" s="58">
        <v>4</v>
      </c>
      <c r="C33" s="58">
        <v>5</v>
      </c>
      <c r="D33" s="59">
        <f>'[1]ISTANBUL 4 NIGHTS'!D33*102%</f>
        <v>168.3</v>
      </c>
      <c r="E33" s="59">
        <f t="shared" ref="E33:E34" si="1">B33*C33*D33</f>
        <v>3366</v>
      </c>
      <c r="F33" s="60" t="s">
        <v>24</v>
      </c>
    </row>
    <row r="34" spans="1:8" ht="34" x14ac:dyDescent="0.2">
      <c r="A34" s="34" t="s">
        <v>25</v>
      </c>
      <c r="B34" s="58">
        <v>4</v>
      </c>
      <c r="C34" s="58">
        <v>90</v>
      </c>
      <c r="D34" s="59">
        <f>'[1]ISTANBUL 4 NIGHTS'!D34*102%</f>
        <v>178.5</v>
      </c>
      <c r="E34" s="59">
        <f t="shared" si="1"/>
        <v>64260</v>
      </c>
      <c r="F34" s="60" t="s">
        <v>24</v>
      </c>
    </row>
    <row r="35" spans="1:8" s="37" customFormat="1" ht="42" x14ac:dyDescent="0.25">
      <c r="A35" s="35" t="s">
        <v>33</v>
      </c>
      <c r="B35" s="61">
        <v>0</v>
      </c>
      <c r="C35" s="61">
        <v>190</v>
      </c>
      <c r="D35" s="59">
        <f>'[1]ISTANBUL 4 NIGHTS'!D35*102%</f>
        <v>306</v>
      </c>
      <c r="E35" s="62">
        <f>D35*C35*B35</f>
        <v>0</v>
      </c>
      <c r="F35" s="36" t="s">
        <v>34</v>
      </c>
      <c r="G35" s="63"/>
      <c r="H35" s="63"/>
    </row>
    <row r="36" spans="1:8" s="37" customFormat="1" ht="126" x14ac:dyDescent="0.25">
      <c r="A36" s="38" t="s">
        <v>28</v>
      </c>
      <c r="B36" s="61">
        <v>0</v>
      </c>
      <c r="C36" s="61">
        <v>1</v>
      </c>
      <c r="D36" s="59">
        <f>'[1]ISTANBUL 4 NIGHTS'!D36*102%</f>
        <v>13464</v>
      </c>
      <c r="E36" s="62">
        <f>D36*C36*B36</f>
        <v>0</v>
      </c>
      <c r="F36" s="39" t="s">
        <v>29</v>
      </c>
      <c r="G36" s="63"/>
      <c r="H36" s="63"/>
    </row>
    <row r="37" spans="1:8" s="37" customFormat="1" ht="21" x14ac:dyDescent="0.25">
      <c r="A37" s="38" t="s">
        <v>28</v>
      </c>
      <c r="B37" s="61">
        <v>0</v>
      </c>
      <c r="C37" s="61">
        <v>1</v>
      </c>
      <c r="D37" s="59">
        <f>'[1]ISTANBUL 4 NIGHTS'!D37*102%</f>
        <v>6120</v>
      </c>
      <c r="E37" s="62">
        <f>D37*C37*B37</f>
        <v>0</v>
      </c>
      <c r="F37" s="39" t="s">
        <v>30</v>
      </c>
      <c r="G37" s="63"/>
      <c r="H37" s="63"/>
    </row>
    <row r="38" spans="1:8" ht="13.5" customHeight="1" x14ac:dyDescent="0.15">
      <c r="A38" s="151" t="s">
        <v>31</v>
      </c>
      <c r="B38" s="153"/>
      <c r="C38" s="155"/>
      <c r="D38" s="157"/>
      <c r="E38" s="159">
        <f>E33+E34+E35+E36+E37</f>
        <v>67626</v>
      </c>
      <c r="F38" s="161"/>
    </row>
    <row r="39" spans="1:8" ht="13.5" customHeight="1" x14ac:dyDescent="0.15">
      <c r="A39" s="152"/>
      <c r="B39" s="154"/>
      <c r="C39" s="156"/>
      <c r="D39" s="158"/>
      <c r="E39" s="160"/>
      <c r="F39" s="162"/>
    </row>
    <row r="40" spans="1:8" x14ac:dyDescent="0.15">
      <c r="A40" s="32"/>
      <c r="B40" s="32"/>
      <c r="C40" s="32"/>
      <c r="D40" s="32"/>
      <c r="E40" s="32"/>
      <c r="F40" s="32"/>
    </row>
    <row r="41" spans="1:8" s="33" customFormat="1" ht="19" x14ac:dyDescent="0.2">
      <c r="A41" s="99" t="s">
        <v>35</v>
      </c>
      <c r="B41" s="100" t="s">
        <v>17</v>
      </c>
      <c r="C41" s="101" t="s">
        <v>18</v>
      </c>
      <c r="D41" s="102" t="s">
        <v>19</v>
      </c>
      <c r="E41" s="100" t="s">
        <v>20</v>
      </c>
      <c r="F41" s="100" t="s">
        <v>21</v>
      </c>
    </row>
    <row r="42" spans="1:8" x14ac:dyDescent="0.15">
      <c r="A42" s="148" t="s">
        <v>22</v>
      </c>
      <c r="B42" s="149"/>
      <c r="C42" s="149"/>
      <c r="D42" s="149"/>
      <c r="E42" s="149"/>
      <c r="F42" s="150"/>
    </row>
    <row r="43" spans="1:8" ht="34" x14ac:dyDescent="0.2">
      <c r="A43" s="34" t="s">
        <v>23</v>
      </c>
      <c r="B43" s="58">
        <v>4</v>
      </c>
      <c r="C43" s="58">
        <v>5</v>
      </c>
      <c r="D43" s="59">
        <f>'[1]ISTANBUL 4 NIGHTS'!D43*102%</f>
        <v>96.9</v>
      </c>
      <c r="E43" s="59">
        <f t="shared" ref="E43:E44" si="2">B43*C43*D43</f>
        <v>1938</v>
      </c>
      <c r="F43" s="60" t="s">
        <v>24</v>
      </c>
    </row>
    <row r="44" spans="1:8" ht="34" x14ac:dyDescent="0.2">
      <c r="A44" s="34" t="s">
        <v>25</v>
      </c>
      <c r="B44" s="58">
        <v>4</v>
      </c>
      <c r="C44" s="58">
        <v>90</v>
      </c>
      <c r="D44" s="59">
        <f>'[1]ISTANBUL 4 NIGHTS'!D44*102%</f>
        <v>96.9</v>
      </c>
      <c r="E44" s="59">
        <f t="shared" si="2"/>
        <v>34884</v>
      </c>
      <c r="F44" s="60" t="s">
        <v>24</v>
      </c>
    </row>
    <row r="45" spans="1:8" s="37" customFormat="1" ht="42" x14ac:dyDescent="0.25">
      <c r="A45" s="35" t="s">
        <v>36</v>
      </c>
      <c r="B45" s="61">
        <v>0</v>
      </c>
      <c r="C45" s="61">
        <v>190</v>
      </c>
      <c r="D45" s="59">
        <f>'[1]ISTANBUL 4 NIGHTS'!D45*102%</f>
        <v>91.8</v>
      </c>
      <c r="E45" s="62">
        <f>D45*C45*B45</f>
        <v>0</v>
      </c>
      <c r="F45" s="36" t="s">
        <v>34</v>
      </c>
      <c r="G45" s="63"/>
      <c r="H45" s="63"/>
    </row>
    <row r="46" spans="1:8" s="37" customFormat="1" ht="126" x14ac:dyDescent="0.25">
      <c r="A46" s="38" t="s">
        <v>28</v>
      </c>
      <c r="B46" s="61">
        <v>0</v>
      </c>
      <c r="C46" s="61">
        <v>1</v>
      </c>
      <c r="D46" s="59">
        <f>'[1]ISTANBUL 4 NIGHTS'!D46*102%</f>
        <v>13464</v>
      </c>
      <c r="E46" s="62">
        <f>D46*C46*B46</f>
        <v>0</v>
      </c>
      <c r="F46" s="39" t="s">
        <v>29</v>
      </c>
      <c r="G46" s="63"/>
      <c r="H46" s="63"/>
    </row>
    <row r="47" spans="1:8" s="37" customFormat="1" ht="21" x14ac:dyDescent="0.25">
      <c r="A47" s="38" t="s">
        <v>28</v>
      </c>
      <c r="B47" s="61">
        <v>0</v>
      </c>
      <c r="C47" s="61">
        <v>1</v>
      </c>
      <c r="D47" s="59">
        <f>'[1]ISTANBUL 4 NIGHTS'!D47*102%</f>
        <v>6120</v>
      </c>
      <c r="E47" s="62">
        <f>D47*C47*B47</f>
        <v>0</v>
      </c>
      <c r="F47" s="39" t="s">
        <v>30</v>
      </c>
      <c r="G47" s="63"/>
      <c r="H47" s="63"/>
    </row>
    <row r="48" spans="1:8" ht="13.5" customHeight="1" x14ac:dyDescent="0.15">
      <c r="A48" s="151" t="s">
        <v>31</v>
      </c>
      <c r="B48" s="153"/>
      <c r="C48" s="155"/>
      <c r="D48" s="157"/>
      <c r="E48" s="159">
        <f>E46+E45+E44+E43+E47</f>
        <v>36822</v>
      </c>
      <c r="F48" s="161"/>
    </row>
    <row r="49" spans="1:8" ht="13.5" customHeight="1" x14ac:dyDescent="0.15">
      <c r="A49" s="152"/>
      <c r="B49" s="154"/>
      <c r="C49" s="156"/>
      <c r="D49" s="158"/>
      <c r="E49" s="160"/>
      <c r="F49" s="162"/>
    </row>
    <row r="50" spans="1:8" x14ac:dyDescent="0.15">
      <c r="A50" s="32"/>
      <c r="B50" s="32"/>
      <c r="C50" s="32"/>
      <c r="D50" s="32"/>
      <c r="E50" s="32"/>
      <c r="F50" s="32"/>
    </row>
    <row r="51" spans="1:8" s="33" customFormat="1" ht="19" x14ac:dyDescent="0.2">
      <c r="A51" s="99" t="s">
        <v>37</v>
      </c>
      <c r="B51" s="100" t="s">
        <v>17</v>
      </c>
      <c r="C51" s="101" t="s">
        <v>18</v>
      </c>
      <c r="D51" s="102" t="s">
        <v>19</v>
      </c>
      <c r="E51" s="100" t="s">
        <v>20</v>
      </c>
      <c r="F51" s="100" t="s">
        <v>21</v>
      </c>
    </row>
    <row r="52" spans="1:8" x14ac:dyDescent="0.15">
      <c r="A52" s="148" t="s">
        <v>22</v>
      </c>
      <c r="B52" s="149"/>
      <c r="C52" s="149"/>
      <c r="D52" s="149"/>
      <c r="E52" s="149"/>
      <c r="F52" s="150"/>
    </row>
    <row r="53" spans="1:8" ht="34" x14ac:dyDescent="0.2">
      <c r="A53" s="34" t="s">
        <v>23</v>
      </c>
      <c r="B53" s="58">
        <v>4</v>
      </c>
      <c r="C53" s="58">
        <v>5</v>
      </c>
      <c r="D53" s="59">
        <f>'[1]ISTANBUL 4 NIGHTS'!D53*102%</f>
        <v>158.1</v>
      </c>
      <c r="E53" s="59">
        <f t="shared" ref="E53:E54" si="3">B53*C53*D53</f>
        <v>3162</v>
      </c>
      <c r="F53" s="60" t="s">
        <v>24</v>
      </c>
    </row>
    <row r="54" spans="1:8" ht="34" x14ac:dyDescent="0.2">
      <c r="A54" s="34" t="s">
        <v>25</v>
      </c>
      <c r="B54" s="58">
        <v>4</v>
      </c>
      <c r="C54" s="58">
        <v>90</v>
      </c>
      <c r="D54" s="59">
        <f>'[1]ISTANBUL 4 NIGHTS'!D54*102%</f>
        <v>178.5</v>
      </c>
      <c r="E54" s="59">
        <f t="shared" si="3"/>
        <v>64260</v>
      </c>
      <c r="F54" s="60" t="s">
        <v>24</v>
      </c>
    </row>
    <row r="55" spans="1:8" s="37" customFormat="1" ht="42" x14ac:dyDescent="0.25">
      <c r="A55" s="35" t="s">
        <v>38</v>
      </c>
      <c r="B55" s="61">
        <v>0</v>
      </c>
      <c r="C55" s="61">
        <v>190</v>
      </c>
      <c r="D55" s="59">
        <f>'[1]ISTANBUL 4 NIGHTS'!D55*102%</f>
        <v>132.6</v>
      </c>
      <c r="E55" s="62">
        <f>D55*C55*B55</f>
        <v>0</v>
      </c>
      <c r="F55" s="36" t="s">
        <v>34</v>
      </c>
      <c r="G55" s="63"/>
      <c r="H55" s="63"/>
    </row>
    <row r="56" spans="1:8" s="37" customFormat="1" ht="126" x14ac:dyDescent="0.25">
      <c r="A56" s="38" t="s">
        <v>39</v>
      </c>
      <c r="B56" s="61">
        <v>0</v>
      </c>
      <c r="C56" s="61">
        <v>1</v>
      </c>
      <c r="D56" s="59">
        <f>'[1]ISTANBUL 4 NIGHTS'!D56*102%</f>
        <v>13464</v>
      </c>
      <c r="E56" s="62">
        <f>D56*C56*B56</f>
        <v>0</v>
      </c>
      <c r="F56" s="39" t="s">
        <v>29</v>
      </c>
      <c r="G56" s="63"/>
      <c r="H56" s="63"/>
    </row>
    <row r="57" spans="1:8" s="37" customFormat="1" ht="21" x14ac:dyDescent="0.25">
      <c r="A57" s="38" t="s">
        <v>28</v>
      </c>
      <c r="B57" s="61">
        <v>0</v>
      </c>
      <c r="C57" s="61">
        <v>1</v>
      </c>
      <c r="D57" s="59">
        <f>'[1]ISTANBUL 4 NIGHTS'!D57*102%</f>
        <v>6120</v>
      </c>
      <c r="E57" s="62">
        <f>D57*C57*B57</f>
        <v>0</v>
      </c>
      <c r="F57" s="39" t="s">
        <v>30</v>
      </c>
      <c r="G57" s="63"/>
      <c r="H57" s="63"/>
    </row>
    <row r="58" spans="1:8" ht="13.5" customHeight="1" x14ac:dyDescent="0.15">
      <c r="A58" s="151" t="s">
        <v>31</v>
      </c>
      <c r="B58" s="153"/>
      <c r="C58" s="155"/>
      <c r="D58" s="157"/>
      <c r="E58" s="159">
        <f>E56+E55+E54+E53+E57</f>
        <v>67422</v>
      </c>
      <c r="F58" s="161"/>
    </row>
    <row r="59" spans="1:8" ht="13.5" customHeight="1" x14ac:dyDescent="0.15">
      <c r="A59" s="152"/>
      <c r="B59" s="154"/>
      <c r="C59" s="156"/>
      <c r="D59" s="158"/>
      <c r="E59" s="160"/>
      <c r="F59" s="162"/>
    </row>
    <row r="60" spans="1:8" x14ac:dyDescent="0.15">
      <c r="A60" s="32"/>
      <c r="B60" s="32"/>
      <c r="C60" s="32"/>
      <c r="D60" s="32"/>
      <c r="E60" s="32"/>
      <c r="F60" s="32"/>
    </row>
    <row r="61" spans="1:8" ht="13.5" customHeight="1" thickBot="1" x14ac:dyDescent="0.2">
      <c r="A61" s="64"/>
      <c r="B61" s="65"/>
      <c r="C61" s="66"/>
      <c r="D61" s="67"/>
      <c r="E61" s="68"/>
      <c r="F61" s="69"/>
    </row>
    <row r="62" spans="1:8" ht="15" thickBot="1" x14ac:dyDescent="0.2">
      <c r="A62" s="138" t="s">
        <v>40</v>
      </c>
      <c r="B62" s="139"/>
      <c r="C62" s="139"/>
      <c r="D62" s="139"/>
      <c r="E62" s="139"/>
      <c r="F62" s="140"/>
    </row>
    <row r="63" spans="1:8" ht="15" x14ac:dyDescent="0.15">
      <c r="A63" s="103" t="s">
        <v>41</v>
      </c>
      <c r="B63" s="104" t="s">
        <v>42</v>
      </c>
      <c r="C63" s="105" t="s">
        <v>18</v>
      </c>
      <c r="D63" s="106" t="s">
        <v>19</v>
      </c>
      <c r="E63" s="104" t="s">
        <v>20</v>
      </c>
      <c r="F63" s="104" t="s">
        <v>21</v>
      </c>
      <c r="G63" s="70"/>
      <c r="H63" s="70"/>
    </row>
    <row r="64" spans="1:8" x14ac:dyDescent="0.15">
      <c r="A64" s="141" t="s">
        <v>43</v>
      </c>
      <c r="B64" s="142"/>
      <c r="C64" s="142"/>
      <c r="D64" s="142"/>
      <c r="E64" s="142"/>
      <c r="F64" s="142"/>
      <c r="G64" s="70"/>
      <c r="H64" s="70"/>
    </row>
    <row r="65" spans="1:14" ht="13.5" customHeight="1" x14ac:dyDescent="0.15">
      <c r="A65" s="143" t="s">
        <v>44</v>
      </c>
      <c r="B65" s="144"/>
      <c r="C65" s="144"/>
      <c r="D65" s="144"/>
      <c r="E65" s="144"/>
      <c r="F65" s="145"/>
      <c r="G65" s="70"/>
      <c r="H65" s="70"/>
    </row>
    <row r="66" spans="1:14" s="41" customFormat="1" ht="47.5" customHeight="1" x14ac:dyDescent="0.2">
      <c r="A66" s="35" t="s">
        <v>45</v>
      </c>
      <c r="B66" s="58">
        <v>1</v>
      </c>
      <c r="C66" s="58">
        <v>5</v>
      </c>
      <c r="D66" s="59">
        <f>'[1]ISTANBUL 4 NIGHTS'!D66*107%</f>
        <v>888.1</v>
      </c>
      <c r="E66" s="59">
        <f t="shared" ref="E66" si="4">B66*C66*D66</f>
        <v>4440.5</v>
      </c>
      <c r="F66" s="40" t="s">
        <v>46</v>
      </c>
      <c r="G66" s="72"/>
      <c r="H66" s="72"/>
    </row>
    <row r="67" spans="1:14" s="41" customFormat="1" ht="42" x14ac:dyDescent="0.25">
      <c r="A67" s="35" t="s">
        <v>47</v>
      </c>
      <c r="B67" s="73">
        <v>1</v>
      </c>
      <c r="C67" s="73">
        <v>190</v>
      </c>
      <c r="D67" s="59">
        <f>'[1]ISTANBUL 4 NIGHTS'!D67*107%</f>
        <v>35.31</v>
      </c>
      <c r="E67" s="74">
        <f>D67*C67*B67</f>
        <v>6708.9000000000005</v>
      </c>
      <c r="F67" s="36" t="s">
        <v>48</v>
      </c>
      <c r="G67" s="72"/>
      <c r="H67" s="72"/>
    </row>
    <row r="68" spans="1:14" s="43" customFormat="1" ht="63" x14ac:dyDescent="0.25">
      <c r="A68" s="35" t="s">
        <v>49</v>
      </c>
      <c r="B68" s="73">
        <v>1</v>
      </c>
      <c r="C68" s="73">
        <v>190</v>
      </c>
      <c r="D68" s="59">
        <f>'[1]ISTANBUL 4 NIGHTS'!D68*107%</f>
        <v>85.600000000000009</v>
      </c>
      <c r="E68" s="74">
        <f t="shared" ref="E68" si="5">B68*C68*D68</f>
        <v>16264.000000000002</v>
      </c>
      <c r="F68" s="36" t="s">
        <v>50</v>
      </c>
      <c r="G68" s="42"/>
      <c r="H68" s="42"/>
    </row>
    <row r="69" spans="1:14" x14ac:dyDescent="0.15">
      <c r="A69" s="71" t="s">
        <v>51</v>
      </c>
      <c r="B69" s="75"/>
      <c r="C69" s="75"/>
      <c r="D69" s="75"/>
      <c r="E69" s="75"/>
      <c r="F69" s="76"/>
      <c r="G69" s="70"/>
      <c r="H69" s="70"/>
    </row>
    <row r="70" spans="1:14" s="70" customFormat="1" ht="17" x14ac:dyDescent="0.15">
      <c r="A70" s="35" t="s">
        <v>52</v>
      </c>
      <c r="B70" s="58">
        <v>1</v>
      </c>
      <c r="C70" s="58">
        <v>190</v>
      </c>
      <c r="D70" s="59">
        <f>'[1]ISTANBUL 4 NIGHTS'!D70*107%</f>
        <v>10.700000000000001</v>
      </c>
      <c r="E70" s="74">
        <f t="shared" ref="E70:E74" si="6">B70*C70*D70</f>
        <v>2033.0000000000002</v>
      </c>
      <c r="F70" s="77" t="s">
        <v>53</v>
      </c>
    </row>
    <row r="71" spans="1:14" s="43" customFormat="1" ht="34" x14ac:dyDescent="0.2">
      <c r="A71" s="44" t="s">
        <v>54</v>
      </c>
      <c r="B71" s="58">
        <v>1</v>
      </c>
      <c r="C71" s="58">
        <v>190</v>
      </c>
      <c r="D71" s="59">
        <f>'[1]ISTANBUL 4 NIGHTS'!D71*107%</f>
        <v>42.800000000000004</v>
      </c>
      <c r="E71" s="74">
        <f t="shared" si="6"/>
        <v>8132.0000000000009</v>
      </c>
      <c r="F71" s="40" t="s">
        <v>55</v>
      </c>
      <c r="G71" s="42"/>
      <c r="H71" s="42"/>
    </row>
    <row r="72" spans="1:14" s="41" customFormat="1" ht="21" x14ac:dyDescent="0.25">
      <c r="A72" s="35" t="s">
        <v>56</v>
      </c>
      <c r="B72" s="73">
        <v>1</v>
      </c>
      <c r="C72" s="73">
        <v>190</v>
      </c>
      <c r="D72" s="59">
        <f>'[1]ISTANBUL 4 NIGHTS'!D72*107%</f>
        <v>21.400000000000002</v>
      </c>
      <c r="E72" s="74">
        <f t="shared" si="6"/>
        <v>4066.0000000000005</v>
      </c>
      <c r="F72" s="36" t="s">
        <v>57</v>
      </c>
      <c r="G72" s="42"/>
      <c r="H72" s="42"/>
    </row>
    <row r="73" spans="1:14" s="41" customFormat="1" ht="21" x14ac:dyDescent="0.25">
      <c r="A73" s="35" t="s">
        <v>58</v>
      </c>
      <c r="B73" s="73">
        <v>1</v>
      </c>
      <c r="C73" s="73">
        <v>190</v>
      </c>
      <c r="D73" s="59">
        <f>'[1]ISTANBUL 4 NIGHTS'!D73*107%</f>
        <v>5.3500000000000005</v>
      </c>
      <c r="E73" s="74">
        <f t="shared" si="6"/>
        <v>1016.5000000000001</v>
      </c>
      <c r="F73" s="36" t="s">
        <v>59</v>
      </c>
      <c r="G73" s="42"/>
      <c r="H73" s="42"/>
    </row>
    <row r="74" spans="1:14" s="41" customFormat="1" ht="42" x14ac:dyDescent="0.25">
      <c r="A74" s="45" t="s">
        <v>60</v>
      </c>
      <c r="B74" s="73">
        <v>1</v>
      </c>
      <c r="C74" s="73">
        <v>190</v>
      </c>
      <c r="D74" s="59">
        <f>'[1]ISTANBUL 4 NIGHTS'!D74*107%</f>
        <v>74.900000000000006</v>
      </c>
      <c r="E74" s="74">
        <f t="shared" si="6"/>
        <v>14231.000000000002</v>
      </c>
      <c r="F74" s="46" t="s">
        <v>61</v>
      </c>
      <c r="G74" s="42"/>
      <c r="H74" s="42"/>
    </row>
    <row r="75" spans="1:14" x14ac:dyDescent="0.15">
      <c r="A75" s="71" t="s">
        <v>62</v>
      </c>
      <c r="B75" s="75"/>
      <c r="C75" s="75"/>
      <c r="D75" s="75"/>
      <c r="E75" s="75"/>
      <c r="F75" s="76"/>
      <c r="G75" s="70"/>
      <c r="H75" s="70"/>
      <c r="N75" s="1" t="s">
        <v>63</v>
      </c>
    </row>
    <row r="76" spans="1:14" s="41" customFormat="1" ht="51" x14ac:dyDescent="0.2">
      <c r="A76" s="35" t="s">
        <v>64</v>
      </c>
      <c r="B76" s="58">
        <v>1</v>
      </c>
      <c r="C76" s="58">
        <v>190</v>
      </c>
      <c r="D76" s="59">
        <f>'[1]ISTANBUL 4 NIGHTS'!D76*107%</f>
        <v>80.25</v>
      </c>
      <c r="E76" s="74">
        <f t="shared" ref="E76:E82" si="7">B76*C76*D76</f>
        <v>15247.5</v>
      </c>
      <c r="F76" s="78" t="s">
        <v>65</v>
      </c>
      <c r="G76" s="42"/>
      <c r="H76" s="42"/>
    </row>
    <row r="77" spans="1:14" s="41" customFormat="1" ht="24" customHeight="1" x14ac:dyDescent="0.2">
      <c r="A77" s="35" t="s">
        <v>66</v>
      </c>
      <c r="B77" s="73">
        <v>0</v>
      </c>
      <c r="C77" s="73">
        <v>190</v>
      </c>
      <c r="D77" s="59">
        <f>'[1]ISTANBUL 4 NIGHTS'!D77*107%</f>
        <v>26.75</v>
      </c>
      <c r="E77" s="74">
        <f t="shared" si="7"/>
        <v>0</v>
      </c>
      <c r="F77" s="40" t="s">
        <v>67</v>
      </c>
      <c r="G77" s="42"/>
      <c r="H77" s="42"/>
    </row>
    <row r="78" spans="1:14" s="41" customFormat="1" ht="42" x14ac:dyDescent="0.25">
      <c r="A78" s="35" t="s">
        <v>68</v>
      </c>
      <c r="B78" s="73">
        <v>1</v>
      </c>
      <c r="C78" s="73">
        <v>190</v>
      </c>
      <c r="D78" s="59">
        <f>'[1]ISTANBUL 4 NIGHTS'!D78*107%</f>
        <v>34.24</v>
      </c>
      <c r="E78" s="74">
        <f t="shared" si="7"/>
        <v>6505.6</v>
      </c>
      <c r="F78" s="36" t="s">
        <v>48</v>
      </c>
      <c r="G78" s="72"/>
      <c r="H78" s="72"/>
    </row>
    <row r="79" spans="1:14" s="43" customFormat="1" ht="42" x14ac:dyDescent="0.25">
      <c r="A79" s="35" t="s">
        <v>69</v>
      </c>
      <c r="B79" s="73">
        <v>1</v>
      </c>
      <c r="C79" s="73">
        <v>190</v>
      </c>
      <c r="D79" s="59">
        <f>'[1]ISTANBUL 4 NIGHTS'!D79*107%</f>
        <v>52.43</v>
      </c>
      <c r="E79" s="74">
        <f t="shared" si="7"/>
        <v>9961.7000000000007</v>
      </c>
      <c r="F79" s="36" t="s">
        <v>70</v>
      </c>
      <c r="G79" s="42"/>
      <c r="H79" s="42"/>
    </row>
    <row r="80" spans="1:14" x14ac:dyDescent="0.15">
      <c r="A80" s="71" t="s">
        <v>71</v>
      </c>
      <c r="B80" s="75"/>
      <c r="C80" s="75"/>
      <c r="D80" s="75"/>
      <c r="E80" s="75"/>
      <c r="F80" s="76"/>
      <c r="G80" s="70"/>
      <c r="H80" s="70"/>
    </row>
    <row r="81" spans="1:8" s="43" customFormat="1" ht="34" x14ac:dyDescent="0.2">
      <c r="A81" s="44" t="s">
        <v>72</v>
      </c>
      <c r="B81" s="58">
        <v>1</v>
      </c>
      <c r="C81" s="58">
        <v>190</v>
      </c>
      <c r="D81" s="59">
        <f>'[1]ISTANBUL 4 NIGHTS'!D81*107%</f>
        <v>50.290000000000006</v>
      </c>
      <c r="E81" s="74">
        <f t="shared" si="7"/>
        <v>9555.1</v>
      </c>
      <c r="F81" s="40" t="s">
        <v>73</v>
      </c>
      <c r="G81" s="42"/>
      <c r="H81" s="42"/>
    </row>
    <row r="82" spans="1:8" s="41" customFormat="1" ht="42" x14ac:dyDescent="0.25">
      <c r="A82" s="35" t="s">
        <v>74</v>
      </c>
      <c r="B82" s="73">
        <v>1</v>
      </c>
      <c r="C82" s="73">
        <v>190</v>
      </c>
      <c r="D82" s="59">
        <f>'[1]ISTANBUL 4 NIGHTS'!D82*107%</f>
        <v>35.31</v>
      </c>
      <c r="E82" s="74">
        <f t="shared" si="7"/>
        <v>6708.9000000000005</v>
      </c>
      <c r="F82" s="36" t="s">
        <v>48</v>
      </c>
      <c r="G82" s="42"/>
      <c r="H82" s="42"/>
    </row>
    <row r="83" spans="1:8" x14ac:dyDescent="0.15">
      <c r="A83" s="71" t="s">
        <v>71</v>
      </c>
      <c r="B83" s="75"/>
      <c r="C83" s="75"/>
      <c r="D83" s="75"/>
      <c r="E83" s="75"/>
      <c r="F83" s="76"/>
      <c r="G83" s="70"/>
      <c r="H83" s="70"/>
    </row>
    <row r="84" spans="1:8" s="41" customFormat="1" ht="42" x14ac:dyDescent="0.25">
      <c r="A84" s="35" t="s">
        <v>75</v>
      </c>
      <c r="B84" s="73">
        <v>1</v>
      </c>
      <c r="C84" s="73">
        <v>190</v>
      </c>
      <c r="D84" s="59">
        <f>'[1]ISTANBUL 4 NIGHTS'!D84*107%</f>
        <v>34.24</v>
      </c>
      <c r="E84" s="74">
        <f>D84*C84*B84</f>
        <v>6505.6</v>
      </c>
      <c r="F84" s="36" t="s">
        <v>48</v>
      </c>
      <c r="G84" s="72"/>
      <c r="H84" s="72"/>
    </row>
    <row r="85" spans="1:8" s="41" customFormat="1" ht="20" x14ac:dyDescent="0.25">
      <c r="A85" s="35" t="s">
        <v>76</v>
      </c>
      <c r="B85" s="73">
        <v>0</v>
      </c>
      <c r="C85" s="73">
        <v>0</v>
      </c>
      <c r="D85" s="59">
        <f>'[1]ISTANBUL 4 NIGHTS'!D85*107%</f>
        <v>0</v>
      </c>
      <c r="E85" s="74">
        <v>0</v>
      </c>
      <c r="F85" s="36"/>
      <c r="G85" s="72"/>
      <c r="H85" s="72"/>
    </row>
    <row r="86" spans="1:8" s="33" customFormat="1" ht="17" x14ac:dyDescent="0.15">
      <c r="A86" s="35" t="s">
        <v>77</v>
      </c>
      <c r="B86" s="73">
        <v>1</v>
      </c>
      <c r="C86" s="73">
        <v>5</v>
      </c>
      <c r="D86" s="59">
        <f>'[1]ISTANBUL 4 NIGHTS'!D86*107%</f>
        <v>802.5</v>
      </c>
      <c r="E86" s="74">
        <f t="shared" ref="E86" si="8">B86*C86*D86</f>
        <v>4012.5</v>
      </c>
      <c r="F86" s="79" t="s">
        <v>78</v>
      </c>
      <c r="G86" s="47"/>
      <c r="H86" s="47"/>
    </row>
    <row r="87" spans="1:8" ht="13.5" customHeight="1" x14ac:dyDescent="0.15">
      <c r="A87" s="129" t="s">
        <v>79</v>
      </c>
      <c r="B87" s="107"/>
      <c r="C87" s="107"/>
      <c r="D87" s="107"/>
      <c r="E87" s="146">
        <f>SUM(E66:E86)</f>
        <v>115388.8</v>
      </c>
      <c r="F87" s="108"/>
    </row>
    <row r="88" spans="1:8" x14ac:dyDescent="0.15">
      <c r="A88" s="130"/>
      <c r="B88" s="109"/>
      <c r="C88" s="109"/>
      <c r="D88" s="109"/>
      <c r="E88" s="147"/>
      <c r="F88" s="110"/>
    </row>
    <row r="89" spans="1:8" s="33" customFormat="1" x14ac:dyDescent="0.15">
      <c r="A89" s="48"/>
      <c r="B89" s="49"/>
      <c r="C89" s="80"/>
      <c r="D89" s="50"/>
      <c r="E89" s="51"/>
      <c r="F89" s="52"/>
      <c r="G89" s="1"/>
      <c r="H89" s="1"/>
    </row>
    <row r="90" spans="1:8" ht="30" x14ac:dyDescent="0.15">
      <c r="A90" s="111" t="s">
        <v>80</v>
      </c>
      <c r="B90" s="112"/>
      <c r="C90" s="113"/>
      <c r="D90" s="114" t="s">
        <v>81</v>
      </c>
      <c r="E90" s="115" t="s">
        <v>82</v>
      </c>
      <c r="F90" s="116"/>
    </row>
    <row r="91" spans="1:8" x14ac:dyDescent="0.15">
      <c r="A91" s="126" t="s">
        <v>83</v>
      </c>
      <c r="B91" s="81"/>
      <c r="C91" s="82"/>
      <c r="D91" s="83"/>
      <c r="E91" s="128">
        <f>E48</f>
        <v>36822</v>
      </c>
      <c r="F91" s="85"/>
    </row>
    <row r="92" spans="1:8" x14ac:dyDescent="0.15">
      <c r="A92" s="127"/>
      <c r="B92" s="86"/>
      <c r="C92" s="87"/>
      <c r="D92" s="88"/>
      <c r="E92" s="128"/>
      <c r="F92" s="89"/>
    </row>
    <row r="93" spans="1:8" ht="13.5" customHeight="1" x14ac:dyDescent="0.15">
      <c r="A93" s="126" t="s">
        <v>84</v>
      </c>
      <c r="B93" s="90"/>
      <c r="C93" s="91"/>
      <c r="D93" s="92"/>
      <c r="E93" s="128">
        <f>E87</f>
        <v>115388.8</v>
      </c>
      <c r="F93" s="93"/>
    </row>
    <row r="94" spans="1:8" ht="13.5" customHeight="1" x14ac:dyDescent="0.15">
      <c r="A94" s="127"/>
      <c r="B94" s="86"/>
      <c r="C94" s="87"/>
      <c r="D94" s="88"/>
      <c r="E94" s="128"/>
      <c r="F94" s="89"/>
    </row>
    <row r="95" spans="1:8" ht="13.5" customHeight="1" x14ac:dyDescent="0.15">
      <c r="A95" s="94" t="s">
        <v>94</v>
      </c>
      <c r="B95" s="95"/>
      <c r="C95" s="96"/>
      <c r="D95" s="97"/>
      <c r="E95" s="84">
        <v>1000</v>
      </c>
      <c r="F95" s="98"/>
    </row>
    <row r="96" spans="1:8" x14ac:dyDescent="0.15">
      <c r="A96" s="129" t="s">
        <v>85</v>
      </c>
      <c r="B96" s="117"/>
      <c r="C96" s="118"/>
      <c r="D96" s="119"/>
      <c r="E96" s="131" cm="1">
        <f t="array" ref="E96">SUM(E91:E94+E95)</f>
        <v>156210.79999999999</v>
      </c>
      <c r="F96" s="120"/>
    </row>
    <row r="97" spans="1:8" x14ac:dyDescent="0.15">
      <c r="A97" s="130"/>
      <c r="B97" s="121"/>
      <c r="C97" s="122"/>
      <c r="D97" s="123"/>
      <c r="E97" s="131"/>
      <c r="F97" s="124"/>
    </row>
    <row r="98" spans="1:8" s="70" customFormat="1" x14ac:dyDescent="0.15">
      <c r="A98" s="132" t="s">
        <v>86</v>
      </c>
      <c r="B98" s="134" t="s">
        <v>87</v>
      </c>
      <c r="C98" s="134"/>
      <c r="D98" s="134">
        <v>190</v>
      </c>
      <c r="E98" s="136">
        <f>E96/D98</f>
        <v>822.16210526315786</v>
      </c>
      <c r="F98" s="53"/>
      <c r="G98" s="1"/>
      <c r="H98" s="1"/>
    </row>
    <row r="99" spans="1:8" s="70" customFormat="1" x14ac:dyDescent="0.15">
      <c r="A99" s="133"/>
      <c r="B99" s="135"/>
      <c r="C99" s="135"/>
      <c r="D99" s="135"/>
      <c r="E99" s="137"/>
      <c r="F99" s="54"/>
      <c r="G99" s="1"/>
      <c r="H99" s="1"/>
    </row>
    <row r="100" spans="1:8" s="70" customFormat="1" x14ac:dyDescent="0.15">
      <c r="A100" s="125" t="s">
        <v>88</v>
      </c>
      <c r="B100" s="125"/>
      <c r="C100" s="125"/>
      <c r="D100" s="125"/>
      <c r="E100" s="125"/>
      <c r="F100" s="125"/>
      <c r="G100" s="33"/>
      <c r="H100" s="33"/>
    </row>
    <row r="101" spans="1:8" s="70" customFormat="1" x14ac:dyDescent="0.15">
      <c r="A101" s="55" t="s">
        <v>89</v>
      </c>
      <c r="B101" s="3"/>
      <c r="C101" s="56"/>
      <c r="D101" s="4"/>
      <c r="E101" s="4"/>
      <c r="F101" s="4"/>
      <c r="G101" s="33"/>
      <c r="H101" s="33"/>
    </row>
    <row r="102" spans="1:8" s="47" customFormat="1" x14ac:dyDescent="0.15">
      <c r="A102" s="55" t="s">
        <v>90</v>
      </c>
      <c r="B102" s="3"/>
      <c r="C102" s="56"/>
      <c r="D102" s="4"/>
      <c r="E102" s="4"/>
      <c r="F102" s="4"/>
      <c r="G102" s="33"/>
      <c r="H102" s="33"/>
    </row>
    <row r="103" spans="1:8" s="47" customFormat="1" x14ac:dyDescent="0.15">
      <c r="A103" s="55" t="s">
        <v>91</v>
      </c>
      <c r="B103" s="3"/>
      <c r="C103" s="56"/>
      <c r="D103" s="4"/>
      <c r="E103" s="4"/>
      <c r="F103" s="4"/>
      <c r="G103" s="33"/>
      <c r="H103" s="33"/>
    </row>
    <row r="104" spans="1:8" s="70" customFormat="1" ht="13.5" customHeight="1" x14ac:dyDescent="0.15">
      <c r="A104" s="4"/>
      <c r="B104" s="3"/>
      <c r="C104" s="56"/>
      <c r="D104" s="4"/>
      <c r="E104" s="4"/>
      <c r="F104" s="4"/>
      <c r="G104" s="1"/>
      <c r="H104" s="1"/>
    </row>
    <row r="105" spans="1:8" s="47" customFormat="1" x14ac:dyDescent="0.15">
      <c r="A105" s="4"/>
      <c r="B105" s="3"/>
      <c r="C105" s="56"/>
      <c r="D105" s="4"/>
      <c r="E105" s="4"/>
      <c r="F105" s="4"/>
      <c r="G105" s="1"/>
      <c r="H105" s="1"/>
    </row>
    <row r="106" spans="1:8" s="47" customFormat="1" x14ac:dyDescent="0.15">
      <c r="A106" s="4"/>
      <c r="B106" s="3"/>
      <c r="C106" s="56"/>
      <c r="D106" s="4"/>
      <c r="E106" s="4"/>
      <c r="F106" s="4"/>
      <c r="G106" s="1"/>
      <c r="H106" s="1"/>
    </row>
    <row r="107" spans="1:8" s="47" customFormat="1" x14ac:dyDescent="0.15">
      <c r="A107" s="4"/>
      <c r="B107" s="3"/>
      <c r="C107" s="56"/>
      <c r="D107" s="4"/>
      <c r="E107" s="4"/>
      <c r="F107" s="4"/>
      <c r="G107" s="1"/>
      <c r="H107" s="1"/>
    </row>
    <row r="108" spans="1:8" s="47" customFormat="1" x14ac:dyDescent="0.15">
      <c r="A108" s="4"/>
      <c r="B108" s="3"/>
      <c r="C108" s="56"/>
      <c r="D108" s="4"/>
      <c r="E108" s="4"/>
      <c r="F108" s="4"/>
      <c r="G108" s="1"/>
      <c r="H108" s="1"/>
    </row>
    <row r="109" spans="1:8" s="70" customFormat="1" ht="13.5" customHeight="1" x14ac:dyDescent="0.15">
      <c r="A109" s="4"/>
      <c r="B109" s="3"/>
      <c r="C109" s="56"/>
      <c r="D109" s="4"/>
      <c r="E109" s="4"/>
      <c r="F109" s="4"/>
      <c r="G109" s="1"/>
      <c r="H109" s="1"/>
    </row>
    <row r="110" spans="1:8" s="47" customFormat="1" x14ac:dyDescent="0.15">
      <c r="A110" s="4"/>
      <c r="B110" s="3"/>
      <c r="C110" s="56"/>
      <c r="D110" s="4"/>
      <c r="E110" s="4"/>
      <c r="F110" s="4"/>
      <c r="G110" s="1"/>
      <c r="H110" s="1"/>
    </row>
    <row r="111" spans="1:8" s="47" customFormat="1" x14ac:dyDescent="0.15">
      <c r="A111" s="4"/>
      <c r="B111" s="3"/>
      <c r="C111" s="56"/>
      <c r="D111" s="4"/>
      <c r="E111" s="4"/>
      <c r="F111" s="4"/>
      <c r="G111" s="1"/>
      <c r="H111" s="1"/>
    </row>
    <row r="112" spans="1:8" s="47" customFormat="1" x14ac:dyDescent="0.15">
      <c r="A112" s="4"/>
      <c r="B112" s="3"/>
      <c r="C112" s="56"/>
      <c r="D112" s="4"/>
      <c r="E112" s="4"/>
      <c r="F112" s="4"/>
      <c r="G112" s="1"/>
      <c r="H112" s="1"/>
    </row>
    <row r="113" spans="1:8" s="47" customFormat="1" x14ac:dyDescent="0.15">
      <c r="A113" s="4"/>
      <c r="B113" s="3"/>
      <c r="C113" s="56"/>
      <c r="D113" s="4"/>
      <c r="E113" s="4"/>
      <c r="F113" s="4"/>
      <c r="G113" s="1"/>
      <c r="H113" s="1"/>
    </row>
    <row r="114" spans="1:8" s="47" customFormat="1" x14ac:dyDescent="0.15">
      <c r="A114" s="4"/>
      <c r="B114" s="3"/>
      <c r="C114" s="56"/>
      <c r="D114" s="4"/>
      <c r="E114" s="4"/>
      <c r="F114" s="4"/>
      <c r="G114" s="1"/>
      <c r="H114" s="1"/>
    </row>
    <row r="115" spans="1:8" s="47" customFormat="1" x14ac:dyDescent="0.15">
      <c r="A115" s="4"/>
      <c r="B115" s="3"/>
      <c r="C115" s="56"/>
      <c r="D115" s="4"/>
      <c r="E115" s="4"/>
      <c r="F115" s="4"/>
      <c r="G115" s="1"/>
      <c r="H115" s="1"/>
    </row>
    <row r="116" spans="1:8" s="70" customFormat="1" ht="13.5" customHeight="1" x14ac:dyDescent="0.15">
      <c r="A116" s="4"/>
      <c r="B116" s="3"/>
      <c r="C116" s="56"/>
      <c r="D116" s="4"/>
      <c r="E116" s="4"/>
      <c r="F116" s="4"/>
      <c r="G116" s="1"/>
      <c r="H116" s="1"/>
    </row>
    <row r="117" spans="1:8" s="47" customFormat="1" x14ac:dyDescent="0.15">
      <c r="A117" s="4"/>
      <c r="B117" s="3"/>
      <c r="C117" s="56"/>
      <c r="D117" s="4"/>
      <c r="E117" s="4"/>
      <c r="F117" s="4"/>
      <c r="G117" s="1"/>
      <c r="H117" s="1"/>
    </row>
    <row r="118" spans="1:8" s="47" customFormat="1" x14ac:dyDescent="0.15">
      <c r="A118" s="4"/>
      <c r="B118" s="3"/>
      <c r="C118" s="56"/>
      <c r="D118" s="4"/>
      <c r="E118" s="4"/>
      <c r="F118" s="4"/>
      <c r="G118" s="1"/>
      <c r="H118" s="1"/>
    </row>
    <row r="119" spans="1:8" s="47" customFormat="1" x14ac:dyDescent="0.15">
      <c r="A119" s="4"/>
      <c r="B119" s="3"/>
      <c r="C119" s="56"/>
      <c r="D119" s="4"/>
      <c r="E119" s="4"/>
      <c r="F119" s="4"/>
      <c r="G119" s="1"/>
      <c r="H119" s="1"/>
    </row>
    <row r="120" spans="1:8" s="47" customFormat="1" x14ac:dyDescent="0.15">
      <c r="A120" s="4"/>
      <c r="B120" s="3"/>
      <c r="C120" s="56"/>
      <c r="D120" s="4"/>
      <c r="E120" s="4"/>
      <c r="F120" s="4"/>
      <c r="G120" s="1"/>
      <c r="H120" s="1"/>
    </row>
    <row r="121" spans="1:8" s="70" customFormat="1" ht="13.5" customHeight="1" x14ac:dyDescent="0.15">
      <c r="A121" s="4"/>
      <c r="B121" s="3"/>
      <c r="C121" s="56"/>
      <c r="D121" s="4"/>
      <c r="E121" s="4"/>
      <c r="F121" s="4"/>
      <c r="G121" s="1"/>
      <c r="H121" s="1"/>
    </row>
    <row r="122" spans="1:8" s="47" customFormat="1" x14ac:dyDescent="0.15">
      <c r="A122" s="4"/>
      <c r="B122" s="3"/>
      <c r="C122" s="56"/>
      <c r="D122" s="4"/>
      <c r="E122" s="4"/>
      <c r="F122" s="4"/>
      <c r="G122" s="1"/>
      <c r="H122" s="1"/>
    </row>
    <row r="123" spans="1:8" s="47" customFormat="1" x14ac:dyDescent="0.15">
      <c r="A123" s="4"/>
      <c r="B123" s="3"/>
      <c r="C123" s="56"/>
      <c r="D123" s="4"/>
      <c r="E123" s="4"/>
      <c r="F123" s="4"/>
      <c r="G123" s="1"/>
      <c r="H123" s="1"/>
    </row>
    <row r="124" spans="1:8" s="47" customFormat="1" x14ac:dyDescent="0.15">
      <c r="A124" s="4"/>
      <c r="B124" s="3"/>
      <c r="C124" s="56"/>
      <c r="D124" s="4"/>
      <c r="E124" s="4"/>
      <c r="F124" s="4"/>
      <c r="G124" s="1"/>
      <c r="H124" s="1"/>
    </row>
    <row r="125" spans="1:8" s="70" customFormat="1" ht="13.5" customHeight="1" x14ac:dyDescent="0.15">
      <c r="A125" s="4"/>
      <c r="B125" s="3"/>
      <c r="C125" s="56"/>
      <c r="D125" s="4"/>
      <c r="E125" s="4"/>
      <c r="F125" s="4"/>
      <c r="G125" s="1"/>
      <c r="H125" s="1"/>
    </row>
    <row r="126" spans="1:8" s="47" customFormat="1" x14ac:dyDescent="0.15">
      <c r="A126" s="4"/>
      <c r="B126" s="3"/>
      <c r="C126" s="56"/>
      <c r="D126" s="4"/>
      <c r="E126" s="4"/>
      <c r="F126" s="4"/>
      <c r="G126" s="1"/>
      <c r="H126" s="1"/>
    </row>
    <row r="127" spans="1:8" s="70" customFormat="1" ht="13.5" customHeight="1" x14ac:dyDescent="0.15">
      <c r="A127" s="4"/>
      <c r="B127" s="3"/>
      <c r="C127" s="56"/>
      <c r="D127" s="4"/>
      <c r="E127" s="4"/>
      <c r="F127" s="4"/>
      <c r="G127" s="1"/>
      <c r="H127" s="1"/>
    </row>
    <row r="128" spans="1:8" s="47" customFormat="1" x14ac:dyDescent="0.15">
      <c r="A128" s="4"/>
      <c r="B128" s="3"/>
      <c r="C128" s="56"/>
      <c r="D128" s="4"/>
      <c r="E128" s="4"/>
      <c r="F128" s="4"/>
      <c r="G128" s="1"/>
      <c r="H128" s="1"/>
    </row>
    <row r="129" spans="1:8" s="47" customFormat="1" x14ac:dyDescent="0.15">
      <c r="A129" s="4"/>
      <c r="B129" s="3"/>
      <c r="C129" s="56"/>
      <c r="D129" s="4"/>
      <c r="E129" s="4"/>
      <c r="F129" s="4"/>
      <c r="G129" s="1"/>
      <c r="H129" s="1"/>
    </row>
    <row r="130" spans="1:8" s="70" customFormat="1" ht="13.5" customHeight="1" x14ac:dyDescent="0.15">
      <c r="A130" s="4"/>
      <c r="B130" s="3"/>
      <c r="C130" s="56"/>
      <c r="D130" s="4"/>
      <c r="E130" s="4"/>
      <c r="F130" s="4"/>
      <c r="G130" s="1"/>
      <c r="H130" s="1"/>
    </row>
    <row r="131" spans="1:8" s="47" customFormat="1" x14ac:dyDescent="0.15">
      <c r="A131" s="4"/>
      <c r="B131" s="3"/>
      <c r="C131" s="56"/>
      <c r="D131" s="4"/>
      <c r="E131" s="4"/>
      <c r="F131" s="4"/>
      <c r="G131" s="1"/>
      <c r="H131" s="1"/>
    </row>
    <row r="132" spans="1:8" s="47" customFormat="1" x14ac:dyDescent="0.15">
      <c r="A132" s="4"/>
      <c r="B132" s="3"/>
      <c r="C132" s="56"/>
      <c r="D132" s="4"/>
      <c r="E132" s="4"/>
      <c r="F132" s="4"/>
      <c r="G132" s="1"/>
      <c r="H132" s="1"/>
    </row>
    <row r="133" spans="1:8" s="70" customFormat="1" ht="13.5" customHeight="1" x14ac:dyDescent="0.15">
      <c r="A133" s="4"/>
      <c r="B133" s="3"/>
      <c r="C133" s="56"/>
      <c r="D133" s="4"/>
      <c r="E133" s="4"/>
      <c r="F133" s="4"/>
      <c r="G133" s="1"/>
      <c r="H133" s="1"/>
    </row>
    <row r="134" spans="1:8" s="47" customFormat="1" x14ac:dyDescent="0.15">
      <c r="A134" s="4"/>
      <c r="B134" s="3"/>
      <c r="C134" s="56"/>
      <c r="D134" s="4"/>
      <c r="E134" s="4"/>
      <c r="F134" s="4"/>
      <c r="G134" s="1"/>
      <c r="H134" s="1"/>
    </row>
    <row r="135" spans="1:8" s="47" customFormat="1" x14ac:dyDescent="0.15">
      <c r="A135" s="4"/>
      <c r="B135" s="3"/>
      <c r="C135" s="56"/>
      <c r="D135" s="4"/>
      <c r="E135" s="4"/>
      <c r="F135" s="4"/>
      <c r="G135" s="1"/>
      <c r="H135" s="1"/>
    </row>
    <row r="136" spans="1:8" ht="14.5" customHeight="1" x14ac:dyDescent="0.15"/>
    <row r="143" spans="1:8" ht="16.5" customHeight="1" x14ac:dyDescent="0.15"/>
    <row r="146" spans="1:8" ht="23.25" customHeight="1" x14ac:dyDescent="0.15"/>
    <row r="148" spans="1:8" s="33" customFormat="1" ht="32.5" customHeight="1" x14ac:dyDescent="0.15">
      <c r="A148" s="4"/>
      <c r="B148" s="3"/>
      <c r="C148" s="56"/>
      <c r="D148" s="4"/>
      <c r="E148" s="4"/>
      <c r="F148" s="4"/>
      <c r="G148" s="1"/>
      <c r="H148" s="1"/>
    </row>
    <row r="149" spans="1:8" s="33" customFormat="1" x14ac:dyDescent="0.15">
      <c r="A149" s="4"/>
      <c r="B149" s="3"/>
      <c r="C149" s="56"/>
      <c r="D149" s="4"/>
      <c r="E149" s="4"/>
      <c r="F149" s="4"/>
      <c r="G149" s="1"/>
      <c r="H149" s="1"/>
    </row>
    <row r="150" spans="1:8" s="33" customFormat="1" x14ac:dyDescent="0.15">
      <c r="A150" s="4"/>
      <c r="B150" s="3"/>
      <c r="C150" s="56"/>
      <c r="D150" s="4"/>
      <c r="E150" s="4"/>
      <c r="F150" s="4"/>
      <c r="G150" s="1"/>
      <c r="H150" s="1"/>
    </row>
    <row r="151" spans="1:8" s="33" customFormat="1" x14ac:dyDescent="0.15">
      <c r="A151" s="4"/>
      <c r="B151" s="3"/>
      <c r="C151" s="56"/>
      <c r="D151" s="4"/>
      <c r="E151" s="4"/>
      <c r="F151" s="4"/>
      <c r="G151" s="1"/>
      <c r="H151" s="1"/>
    </row>
  </sheetData>
  <mergeCells count="56">
    <mergeCell ref="B9:F9"/>
    <mergeCell ref="A1:F1"/>
    <mergeCell ref="A5:F5"/>
    <mergeCell ref="B6:F6"/>
    <mergeCell ref="B7:F7"/>
    <mergeCell ref="B8:F8"/>
    <mergeCell ref="B10:F10"/>
    <mergeCell ref="A16:F16"/>
    <mergeCell ref="A17:B17"/>
    <mergeCell ref="C17:F17"/>
    <mergeCell ref="A18:B18"/>
    <mergeCell ref="C18:F18"/>
    <mergeCell ref="A22:F22"/>
    <mergeCell ref="A28:A29"/>
    <mergeCell ref="B28:B29"/>
    <mergeCell ref="C28:C29"/>
    <mergeCell ref="D28:D29"/>
    <mergeCell ref="E28:E29"/>
    <mergeCell ref="F28:F29"/>
    <mergeCell ref="A32:F32"/>
    <mergeCell ref="A38:A39"/>
    <mergeCell ref="B38:B39"/>
    <mergeCell ref="C38:C39"/>
    <mergeCell ref="D38:D39"/>
    <mergeCell ref="E38:E39"/>
    <mergeCell ref="F38:F39"/>
    <mergeCell ref="A42:F42"/>
    <mergeCell ref="A48:A49"/>
    <mergeCell ref="B48:B49"/>
    <mergeCell ref="C48:C49"/>
    <mergeCell ref="D48:D49"/>
    <mergeCell ref="E48:E49"/>
    <mergeCell ref="F48:F49"/>
    <mergeCell ref="A91:A92"/>
    <mergeCell ref="E91:E92"/>
    <mergeCell ref="A52:F52"/>
    <mergeCell ref="A58:A59"/>
    <mergeCell ref="B58:B59"/>
    <mergeCell ref="C58:C59"/>
    <mergeCell ref="D58:D59"/>
    <mergeCell ref="E58:E59"/>
    <mergeCell ref="F58:F59"/>
    <mergeCell ref="A62:F62"/>
    <mergeCell ref="A64:F64"/>
    <mergeCell ref="A65:F65"/>
    <mergeCell ref="A87:A88"/>
    <mergeCell ref="E87:E88"/>
    <mergeCell ref="A100:F100"/>
    <mergeCell ref="A93:A94"/>
    <mergeCell ref="E93:E94"/>
    <mergeCell ref="A96:A97"/>
    <mergeCell ref="E96:E97"/>
    <mergeCell ref="A98:A99"/>
    <mergeCell ref="B98:C99"/>
    <mergeCell ref="D98:D99"/>
    <mergeCell ref="E98:E99"/>
  </mergeCells>
  <hyperlinks>
    <hyperlink ref="A30" r:id="rId1" display="ROYAL HOTEL HAGIA SOPHIA" xr:uid="{B24C28C6-121A-4A4F-9F87-A1EB92A27A0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Anushree Jain | Liberty Group Desk &amp; Global Tours</dc:creator>
  <cp:lastModifiedBy>Yash Yadav | Liberty India</cp:lastModifiedBy>
  <dcterms:created xsi:type="dcterms:W3CDTF">2025-02-04T17:37:48Z</dcterms:created>
  <dcterms:modified xsi:type="dcterms:W3CDTF">2025-02-06T06:22:03Z</dcterms:modified>
</cp:coreProperties>
</file>