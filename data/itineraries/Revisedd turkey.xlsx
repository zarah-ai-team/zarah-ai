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rys/Desktop/"/>
    </mc:Choice>
  </mc:AlternateContent>
  <xr:revisionPtr revIDLastSave="0" documentId="8_{CCC7A09D-7B94-5941-AFAB-31CBB541C970}" xr6:coauthVersionLast="47" xr6:coauthVersionMax="47" xr10:uidLastSave="{00000000-0000-0000-0000-000000000000}"/>
  <bookViews>
    <workbookView xWindow="0" yWindow="500" windowWidth="28800" windowHeight="15940" xr2:uid="{00000000-000D-0000-FFFF-FFFF00000000}"/>
  </bookViews>
  <sheets>
    <sheet name="Sheet2" sheetId="1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2" i="17" l="1"/>
  <c r="E60" i="17"/>
  <c r="E58" i="17"/>
  <c r="E57" i="17"/>
  <c r="E56" i="17"/>
  <c r="E55" i="17"/>
  <c r="E53" i="17"/>
  <c r="E52" i="17"/>
  <c r="E50" i="17"/>
  <c r="E49" i="17"/>
  <c r="E48" i="17"/>
  <c r="E36" i="17"/>
  <c r="E35" i="17"/>
  <c r="E34" i="17"/>
  <c r="E33" i="17"/>
  <c r="E26" i="17"/>
  <c r="E25" i="17"/>
  <c r="E24" i="17"/>
  <c r="E23" i="17"/>
  <c r="E63" i="17" l="1"/>
  <c r="E69" i="17" s="1"/>
  <c r="E27" i="17"/>
  <c r="E67" i="17" s="1"/>
  <c r="E71" i="17" s="1"/>
  <c r="E73" i="17" s="1"/>
  <c r="E37" i="17"/>
</calcChain>
</file>

<file path=xl/sharedStrings.xml><?xml version="1.0" encoding="utf-8"?>
<sst xmlns="http://schemas.openxmlformats.org/spreadsheetml/2006/main" count="99" uniqueCount="76">
  <si>
    <t>QUOTATION</t>
  </si>
  <si>
    <t>GROUP NAME:</t>
  </si>
  <si>
    <t>DESTINATION:</t>
  </si>
  <si>
    <t>DATES:</t>
  </si>
  <si>
    <t>PAX / ROOMS:</t>
  </si>
  <si>
    <t>INCOMING CONTACT:</t>
  </si>
  <si>
    <r>
      <t xml:space="preserve">                VAT NOT RECLAIMED        
</t>
    </r>
    <r>
      <rPr>
        <b/>
        <strike/>
        <sz val="11"/>
        <rFont val="Arial"/>
        <family val="2"/>
      </rPr>
      <t/>
    </r>
  </si>
  <si>
    <r>
      <t xml:space="preserve">             NON COMMISSIONABLE RATES     
</t>
    </r>
    <r>
      <rPr>
        <b/>
        <strike/>
        <sz val="11"/>
        <rFont val="Arial"/>
        <family val="2"/>
      </rPr>
      <t/>
    </r>
  </si>
  <si>
    <t xml:space="preserve">                 only if applicable to all below rates.</t>
  </si>
  <si>
    <t>Units</t>
  </si>
  <si>
    <t>Price per unit</t>
  </si>
  <si>
    <t>Total</t>
  </si>
  <si>
    <t>Remarks</t>
  </si>
  <si>
    <t>SERVICES - DAY BY DAY</t>
  </si>
  <si>
    <t>Days</t>
  </si>
  <si>
    <t>PROGRAM</t>
  </si>
  <si>
    <t>SERVICES - DAY BY DAY
(excluding hotel)</t>
  </si>
  <si>
    <t>COST SUMMARY</t>
  </si>
  <si>
    <t xml:space="preserve">   
   </t>
  </si>
  <si>
    <t>TOTAL</t>
  </si>
  <si>
    <t xml:space="preserve">TOTAL COSTS </t>
  </si>
  <si>
    <t>TOTAL COSTS per person</t>
  </si>
  <si>
    <t>based on pax</t>
  </si>
  <si>
    <t>OFFERED SERVICES - DAY BY DAY</t>
  </si>
  <si>
    <t>No bookings are service made</t>
  </si>
  <si>
    <t>VAT and City Taxes included all above rates.</t>
  </si>
  <si>
    <t>*The rates quoted below are valid only for this group, and valid for 15 days. if the dates are changed the rates are subject to change. in case the suppliers increase their prices we reserve the right to adapt the rates accordingly.</t>
  </si>
  <si>
    <t>If there will be dicrease of the numbers of the guest Increase will be reflected to rates on each services.</t>
  </si>
  <si>
    <t>Nights</t>
  </si>
  <si>
    <t>Hotel</t>
  </si>
  <si>
    <t xml:space="preserve">HOTEL COSTS (excluding program) </t>
  </si>
  <si>
    <t>Double  room on BB basis</t>
  </si>
  <si>
    <t xml:space="preserve">Bed and Breakfast and Taxes included.Early check in is not garranted- </t>
  </si>
  <si>
    <t>Hagia Sophia Entrance fee</t>
  </si>
  <si>
    <t>TURKEY</t>
  </si>
  <si>
    <t>EMRE YILMAZ</t>
  </si>
  <si>
    <t>DAY 1</t>
  </si>
  <si>
    <t>DAY 2</t>
  </si>
  <si>
    <t>Single room on BB basis</t>
  </si>
  <si>
    <t>DAY 3</t>
  </si>
  <si>
    <t>DAY 4</t>
  </si>
  <si>
    <t>Transportation from Istanbul airport to hotel</t>
  </si>
  <si>
    <t xml:space="preserve">Entrance fee-If you want to add to program </t>
  </si>
  <si>
    <r>
      <rPr>
        <b/>
        <u/>
        <sz val="12"/>
        <rFont val="Century Gothic"/>
        <family val="2"/>
        <charset val="162"/>
      </rPr>
      <t>PRICING MODEL</t>
    </r>
    <r>
      <rPr>
        <b/>
        <sz val="11"/>
        <rFont val="Century Gothic"/>
        <family val="2"/>
        <charset val="162"/>
      </rPr>
      <t xml:space="preserve">  </t>
    </r>
  </si>
  <si>
    <r>
      <rPr>
        <b/>
        <sz val="11"/>
        <color rgb="FFFF0000"/>
        <rFont val="Century Gothic"/>
        <family val="2"/>
        <charset val="162"/>
      </rPr>
      <t>EURO</t>
    </r>
    <r>
      <rPr>
        <b/>
        <sz val="11"/>
        <rFont val="Century Gothic"/>
        <family val="2"/>
        <charset val="162"/>
      </rPr>
      <t xml:space="preserve">     CURRENCY OF THIS QUOTATION        
</t>
    </r>
    <r>
      <rPr>
        <b/>
        <strike/>
        <sz val="11"/>
        <rFont val="Arial"/>
        <family val="2"/>
      </rPr>
      <t/>
    </r>
  </si>
  <si>
    <r>
      <rPr>
        <b/>
        <u/>
        <sz val="12"/>
        <rFont val="Century Gothic"/>
        <family val="2"/>
        <charset val="162"/>
      </rPr>
      <t>COMMISSION AGREEMENT</t>
    </r>
    <r>
      <rPr>
        <b/>
        <sz val="11"/>
        <rFont val="Century Gothic"/>
        <family val="2"/>
        <charset val="162"/>
      </rPr>
      <t xml:space="preserve"> </t>
    </r>
  </si>
  <si>
    <r>
      <t xml:space="preserve">             COMMISSIONABLE RATES:               </t>
    </r>
    <r>
      <rPr>
        <sz val="11"/>
        <rFont val="Century Gothic"/>
        <family val="2"/>
        <charset val="162"/>
      </rPr>
      <t xml:space="preserve">Commissionable at: </t>
    </r>
    <r>
      <rPr>
        <b/>
        <sz val="11"/>
        <rFont val="Century Gothic"/>
        <family val="2"/>
        <charset val="162"/>
      </rPr>
      <t xml:space="preserve">
</t>
    </r>
    <r>
      <rPr>
        <b/>
        <strike/>
        <sz val="11"/>
        <rFont val="Arial"/>
        <family val="2"/>
      </rPr>
      <t/>
    </r>
  </si>
  <si>
    <t>Private Dinner on the Bosphorus Cruise By The Boat</t>
  </si>
  <si>
    <t>Lunch at the Dubb Taksim New Restaurant</t>
  </si>
  <si>
    <t>Lunch at the Dubb Kebap Restaurant</t>
  </si>
  <si>
    <t xml:space="preserve">ISTANBUL </t>
  </si>
  <si>
    <t>Istanbul City Hotel to Airport transfer</t>
  </si>
  <si>
    <t>FD Princess Island Tour</t>
  </si>
  <si>
    <t>Lunch at the Milano Restaurant</t>
  </si>
  <si>
    <t xml:space="preserve">fish and chicken menu </t>
  </si>
  <si>
    <t>By bus, Electric buggy ride,Private Boat, English speaking guide included.</t>
  </si>
  <si>
    <t>transportation by luxury coach and half day vehicle</t>
  </si>
  <si>
    <t>INDIA</t>
  </si>
  <si>
    <t>190 PAX</t>
  </si>
  <si>
    <t>NET RATES, inclusive of Taxes</t>
  </si>
  <si>
    <t>RİTZ CARLTON HOTEL ISTANBUL 5*</t>
  </si>
  <si>
    <t>01 Veg &amp; 1 Nonveg Soup,01 Veg and 01 Non-Veg starter, Main dishes - 02 Nonveg, 03 Veg dish, Dal, Tawa/Tandoori Roti or Naan or Puri, Rice, Salad &amp; Sprouts, Papad, Pickle, Plain yoghurt, 1 Desert, 1 Ice cream and Water</t>
  </si>
  <si>
    <t>FD Istanbul Classic Tour (Sultanahmet Area, Hippodrome, Topkapi Palace, Blue Mosque, Grand Bazaar, Dolmabahce Palace and Galata Tower exterior</t>
  </si>
  <si>
    <t>Gala Dinner at the hotel</t>
  </si>
  <si>
    <t>22-25 MAY</t>
  </si>
  <si>
    <t>Free Time For Shopping at the taksim square</t>
  </si>
  <si>
    <t>Hi Tea at the hotel</t>
  </si>
  <si>
    <t>Including English speaking guide entrance fee for Topkapi palace and dolmabahce and transportation</t>
  </si>
  <si>
    <t>Whirling Dervis + Belly Dancer show. 01 Veg &amp; 1 Nonveg Soup,01 Veg and 01 Non-Veg starter, Main dishes - 02 Nonveg, 03 Veg dish, Dal, Roti or Naan or Puri, Rice, Salad Papad, Pickle, Plain yoghurt, 1 Desert, 1 Ice cream and Water etc. Jain meals should be available</t>
  </si>
  <si>
    <t>01 Veg &amp; 1 nonveg soup, 03 Veg and 03 Non-veg starter, Main dishes - 02 Nonveg, 03 Veg dish, Dal, Roti or Naan or Steam Rice &amp; Biryani Rice, Salad &amp; Sprouts, papad, Pickle, Plain yoghurt, Raita, 2 Desert One veg &amp; one Non veg dish of Local cuisine should be part of the menu. 1 Live counter for Pasta. 1 Live counter for Chaat, unlimited 2 hours alcoholic drinks beer and wine and venue</t>
  </si>
  <si>
    <t>01 Veg &amp; 1 Nonveg Soup,01 Veg and 01 Non-Veg starter, Main dishes - 02 Nonveg, 03 Veg dish, Dal, Roti or Naan or Puri, Rice, Salad Papad, Pickle, Plain yoghurt, 1 Desert, 1 Ice cream and Water etc. Jain meals should be available</t>
  </si>
  <si>
    <t>01 Veg &amp; 1 Nonveg Soup,01 Veg and 01 Non-Veg starter, Main dishes - 02 Nonveg, 03 Veg dish, Dal, Roti or Naan or Puri, Rice, Salad Papad, Pickle, Plain yoghurt, 1 Desert, 1 Ice cream and Water etc. Jain meals should be available, dj perfomance and dance show</t>
  </si>
  <si>
    <t>Dinner at Nomads Restaurant with entertainment</t>
  </si>
  <si>
    <t>HİLTON BOSPHORUS HOTEL 5*</t>
  </si>
  <si>
    <t>2 VEG 2 NON VEG SNACKS</t>
  </si>
  <si>
    <t>HOTEL COSTS(Based on Ritz Carlton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</si>
</sst>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00_);_(\$* \(#,##0.00\);_(\$* \-??_);_(@_)"/>
    <numFmt numFmtId="165" formatCode="_(* #,##0.00_);_(* \(#,##0.00\);_(* \-??_);_(@_)"/>
    <numFmt numFmtId="166" formatCode="_-* #,##0.00\ [$€-407]_-;\-* #,##0.00\ [$€-407]_-;_-* &quot;-&quot;??\ [$€-407]_-;_-@_-"/>
    <numFmt numFmtId="167" formatCode="#,##0.00_ ;\-#,##0.00\ "/>
  </numFmts>
  <fonts count="34" x14ac:knownFonts="1">
    <font>
      <sz val="10"/>
      <name val="Arial"/>
    </font>
    <font>
      <sz val="10"/>
      <name val="Arial"/>
      <family val="2"/>
    </font>
    <font>
      <sz val="10"/>
      <name val="Verdana"/>
      <family val="2"/>
    </font>
    <font>
      <sz val="10"/>
      <name val="Arial"/>
      <family val="2"/>
    </font>
    <font>
      <sz val="10"/>
      <name val="Mangal"/>
      <family val="2"/>
    </font>
    <font>
      <b/>
      <strike/>
      <sz val="11"/>
      <name val="Arial"/>
      <family val="2"/>
    </font>
    <font>
      <u/>
      <sz val="10"/>
      <color theme="10"/>
      <name val="Arial"/>
      <family val="2"/>
      <charset val="162"/>
    </font>
    <font>
      <sz val="10"/>
      <name val="Arial"/>
      <family val="2"/>
      <charset val="162"/>
    </font>
    <font>
      <sz val="11"/>
      <name val="Century Gothic"/>
      <family val="2"/>
      <charset val="162"/>
    </font>
    <font>
      <sz val="10"/>
      <name val="Century Gothic"/>
      <family val="2"/>
      <charset val="162"/>
    </font>
    <font>
      <b/>
      <sz val="18"/>
      <color theme="0"/>
      <name val="Century Gothic"/>
      <family val="2"/>
      <charset val="162"/>
    </font>
    <font>
      <b/>
      <sz val="11"/>
      <color rgb="FF92D050"/>
      <name val="Century Gothic"/>
      <family val="2"/>
      <charset val="162"/>
    </font>
    <font>
      <b/>
      <sz val="12"/>
      <name val="Century Gothic"/>
      <family val="2"/>
      <charset val="162"/>
    </font>
    <font>
      <sz val="12"/>
      <color rgb="FFFF0000"/>
      <name val="Century Gothic"/>
      <family val="2"/>
      <charset val="162"/>
    </font>
    <font>
      <b/>
      <sz val="11"/>
      <name val="Century Gothic"/>
      <family val="2"/>
      <charset val="162"/>
    </font>
    <font>
      <b/>
      <u/>
      <sz val="12"/>
      <name val="Century Gothic"/>
      <family val="2"/>
      <charset val="162"/>
    </font>
    <font>
      <sz val="11"/>
      <color rgb="FFFF0000"/>
      <name val="Century Gothic"/>
      <family val="2"/>
      <charset val="162"/>
    </font>
    <font>
      <b/>
      <sz val="11"/>
      <color rgb="FFFF0000"/>
      <name val="Century Gothic"/>
      <family val="2"/>
      <charset val="162"/>
    </font>
    <font>
      <sz val="10"/>
      <color rgb="FFFF0000"/>
      <name val="Century Gothic"/>
      <family val="2"/>
      <charset val="162"/>
    </font>
    <font>
      <sz val="10"/>
      <color rgb="FF92D050"/>
      <name val="Century Gothic"/>
      <family val="2"/>
      <charset val="162"/>
    </font>
    <font>
      <sz val="9"/>
      <color rgb="FFFF0000"/>
      <name val="Century Gothic"/>
      <family val="2"/>
      <charset val="162"/>
    </font>
    <font>
      <sz val="11"/>
      <color rgb="FF92D050"/>
      <name val="Century Gothic"/>
      <family val="2"/>
      <charset val="162"/>
    </font>
    <font>
      <sz val="11"/>
      <color rgb="FF0070C0"/>
      <name val="Century Gothic"/>
      <family val="2"/>
      <charset val="162"/>
    </font>
    <font>
      <b/>
      <sz val="11"/>
      <color rgb="FF0070C0"/>
      <name val="Century Gothic"/>
      <family val="2"/>
      <charset val="162"/>
    </font>
    <font>
      <sz val="10"/>
      <color rgb="FF0070C0"/>
      <name val="Century Gothic"/>
      <family val="2"/>
      <charset val="162"/>
    </font>
    <font>
      <b/>
      <u/>
      <sz val="14"/>
      <color theme="0"/>
      <name val="Century Gothic"/>
      <family val="2"/>
      <charset val="162"/>
    </font>
    <font>
      <b/>
      <sz val="11"/>
      <color theme="0"/>
      <name val="Century Gothic"/>
      <family val="2"/>
      <charset val="162"/>
    </font>
    <font>
      <sz val="11"/>
      <color theme="0"/>
      <name val="Century Gothic"/>
      <family val="2"/>
      <charset val="162"/>
    </font>
    <font>
      <sz val="12"/>
      <name val="Century Gothic"/>
      <family val="2"/>
      <charset val="162"/>
    </font>
    <font>
      <i/>
      <sz val="11"/>
      <name val="Century Gothic"/>
      <family val="2"/>
      <charset val="162"/>
    </font>
    <font>
      <i/>
      <sz val="11"/>
      <color theme="0"/>
      <name val="Century Gothic"/>
      <family val="2"/>
      <charset val="162"/>
    </font>
    <font>
      <sz val="12"/>
      <name val="Century Gothic"/>
      <family val="1"/>
    </font>
    <font>
      <sz val="15"/>
      <color rgb="FF222222"/>
      <name val="Calibri"/>
      <family val="2"/>
    </font>
    <font>
      <sz val="15"/>
      <color rgb="FF212121"/>
      <name val="Calibri"/>
      <family val="2"/>
    </font>
  </fonts>
  <fills count="6">
    <fill>
      <patternFill patternType="none"/>
    </fill>
    <fill>
      <patternFill patternType="gray125"/>
    </fill>
    <fill>
      <patternFill patternType="solid">
        <fgColor theme="0"/>
        <bgColor indexed="64"/>
      </patternFill>
    </fill>
    <fill>
      <patternFill patternType="solid">
        <fgColor rgb="FF0F4B9A"/>
        <bgColor indexed="64"/>
      </patternFill>
    </fill>
    <fill>
      <patternFill patternType="solid">
        <fgColor rgb="FF505050"/>
        <bgColor indexed="64"/>
      </patternFill>
    </fill>
    <fill>
      <patternFill patternType="solid">
        <fgColor rgb="FFDDDDDD"/>
        <bgColor indexed="64"/>
      </patternFill>
    </fill>
  </fills>
  <borders count="28">
    <border>
      <left/>
      <right/>
      <top/>
      <bottom/>
      <diagonal/>
    </border>
    <border>
      <left/>
      <right/>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7">
    <xf numFmtId="0" fontId="0" fillId="0" borderId="0"/>
    <xf numFmtId="44" fontId="1"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0" fontId="1" fillId="0" borderId="0"/>
    <xf numFmtId="0" fontId="2" fillId="0" borderId="0"/>
    <xf numFmtId="44" fontId="1" fillId="0" borderId="0" applyFont="0" applyFill="0" applyBorder="0" applyAlignment="0" applyProtection="0"/>
    <xf numFmtId="0" fontId="1" fillId="0" borderId="0"/>
    <xf numFmtId="44" fontId="1" fillId="0" borderId="0" applyFont="0" applyFill="0" applyBorder="0" applyAlignment="0" applyProtection="0"/>
    <xf numFmtId="0" fontId="2" fillId="0" borderId="0"/>
    <xf numFmtId="0" fontId="2" fillId="0" borderId="0"/>
    <xf numFmtId="0" fontId="2" fillId="0" borderId="0"/>
    <xf numFmtId="164" fontId="4" fillId="0" borderId="0" applyFill="0" applyBorder="0" applyAlignment="0" applyProtection="0"/>
    <xf numFmtId="164" fontId="4" fillId="0" borderId="0" applyFill="0" applyBorder="0" applyAlignment="0" applyProtection="0"/>
    <xf numFmtId="0" fontId="6" fillId="0" borderId="0" applyNumberFormat="0" applyFill="0" applyBorder="0" applyAlignment="0" applyProtection="0"/>
    <xf numFmtId="0" fontId="7" fillId="0" borderId="0"/>
    <xf numFmtId="0" fontId="7" fillId="0" borderId="0"/>
  </cellStyleXfs>
  <cellXfs count="175">
    <xf numFmtId="0" fontId="0" fillId="0" borderId="0" xfId="0"/>
    <xf numFmtId="0" fontId="9" fillId="0" borderId="0" xfId="0" applyFont="1"/>
    <xf numFmtId="0" fontId="8" fillId="0" borderId="0" xfId="0" applyFont="1"/>
    <xf numFmtId="0" fontId="8" fillId="0" borderId="0" xfId="0" applyFont="1" applyAlignment="1">
      <alignment horizontal="center"/>
    </xf>
    <xf numFmtId="0" fontId="11" fillId="0" borderId="0" xfId="0" applyFont="1" applyAlignment="1">
      <alignment vertical="center"/>
    </xf>
    <xf numFmtId="0" fontId="12" fillId="0" borderId="2" xfId="7" applyFont="1" applyBorder="1" applyAlignment="1" applyProtection="1">
      <alignment vertical="center" wrapText="1"/>
      <protection locked="0"/>
    </xf>
    <xf numFmtId="0" fontId="13" fillId="0" borderId="0" xfId="7" applyFont="1" applyAlignment="1" applyProtection="1">
      <alignment vertical="center" wrapText="1"/>
      <protection locked="0"/>
    </xf>
    <xf numFmtId="0" fontId="13" fillId="0" borderId="3" xfId="7" applyFont="1" applyBorder="1" applyAlignment="1" applyProtection="1">
      <alignment vertical="center" wrapText="1"/>
      <protection locked="0"/>
    </xf>
    <xf numFmtId="0" fontId="14" fillId="0" borderId="2" xfId="7" applyFont="1" applyBorder="1" applyAlignment="1" applyProtection="1">
      <alignment vertical="center" wrapText="1"/>
      <protection locked="0"/>
    </xf>
    <xf numFmtId="0" fontId="16" fillId="0" borderId="0" xfId="0" applyFont="1" applyAlignment="1">
      <alignment vertical="center" wrapText="1"/>
    </xf>
    <xf numFmtId="0" fontId="16" fillId="0" borderId="3" xfId="0" applyFont="1" applyBorder="1" applyAlignment="1">
      <alignment vertical="center" wrapText="1"/>
    </xf>
    <xf numFmtId="0" fontId="14" fillId="0" borderId="2" xfId="0" applyFont="1" applyBorder="1" applyAlignment="1">
      <alignment vertical="top" wrapText="1"/>
    </xf>
    <xf numFmtId="0" fontId="18" fillId="0" borderId="0" xfId="0" applyFont="1"/>
    <xf numFmtId="0" fontId="19" fillId="0" borderId="0" xfId="0" applyFont="1"/>
    <xf numFmtId="0" fontId="20" fillId="0" borderId="0" xfId="0" applyFont="1" applyAlignment="1">
      <alignment horizontal="left" vertical="top"/>
    </xf>
    <xf numFmtId="0" fontId="17" fillId="0" borderId="0" xfId="0" applyFont="1" applyAlignment="1">
      <alignment vertical="top" wrapText="1"/>
    </xf>
    <xf numFmtId="0" fontId="17" fillId="0" borderId="3" xfId="0" applyFont="1" applyBorder="1" applyAlignment="1">
      <alignment vertical="top" wrapText="1"/>
    </xf>
    <xf numFmtId="0" fontId="21" fillId="0" borderId="0" xfId="0" applyFont="1" applyAlignment="1">
      <alignment vertical="top"/>
    </xf>
    <xf numFmtId="0" fontId="14" fillId="0" borderId="0" xfId="0" applyFont="1" applyAlignment="1">
      <alignment vertical="top" wrapText="1"/>
    </xf>
    <xf numFmtId="0" fontId="14" fillId="0" borderId="3" xfId="0" applyFont="1" applyBorder="1" applyAlignment="1">
      <alignment vertical="top" wrapText="1"/>
    </xf>
    <xf numFmtId="0" fontId="8" fillId="0" borderId="0" xfId="0" applyFont="1" applyAlignment="1">
      <alignment vertical="top"/>
    </xf>
    <xf numFmtId="0" fontId="22" fillId="0" borderId="0" xfId="0" applyFont="1" applyAlignment="1">
      <alignment vertical="top"/>
    </xf>
    <xf numFmtId="0" fontId="23" fillId="0" borderId="4" xfId="0" applyFont="1" applyBorder="1" applyAlignment="1">
      <alignment vertical="top" wrapText="1"/>
    </xf>
    <xf numFmtId="0" fontId="23" fillId="0" borderId="1" xfId="0" applyFont="1" applyBorder="1" applyAlignment="1">
      <alignment vertical="top" wrapText="1"/>
    </xf>
    <xf numFmtId="0" fontId="23" fillId="0" borderId="5" xfId="0" applyFont="1" applyBorder="1" applyAlignment="1">
      <alignment vertical="top" wrapText="1"/>
    </xf>
    <xf numFmtId="0" fontId="24" fillId="0" borderId="0" xfId="0" applyFont="1"/>
    <xf numFmtId="0" fontId="23" fillId="0" borderId="0" xfId="0" applyFont="1" applyAlignment="1">
      <alignment vertical="top" wrapText="1"/>
    </xf>
    <xf numFmtId="43" fontId="25" fillId="3" borderId="6" xfId="14" applyNumberFormat="1" applyFont="1" applyFill="1" applyBorder="1" applyAlignment="1">
      <alignment horizontal="center" vertical="center" wrapText="1"/>
    </xf>
    <xf numFmtId="0" fontId="26" fillId="3" borderId="6" xfId="0" applyFont="1" applyFill="1" applyBorder="1" applyAlignment="1">
      <alignment horizontal="center" vertical="center"/>
    </xf>
    <xf numFmtId="0" fontId="26" fillId="3" borderId="6" xfId="1" applyNumberFormat="1" applyFont="1" applyFill="1" applyBorder="1" applyAlignment="1">
      <alignment horizontal="center" vertical="center"/>
    </xf>
    <xf numFmtId="0" fontId="26" fillId="3" borderId="6" xfId="0" applyFont="1" applyFill="1" applyBorder="1" applyAlignment="1">
      <alignment horizontal="center" vertical="center" wrapText="1"/>
    </xf>
    <xf numFmtId="0" fontId="9" fillId="0" borderId="0" xfId="0" applyFont="1" applyAlignment="1">
      <alignment vertical="center"/>
    </xf>
    <xf numFmtId="0" fontId="9" fillId="2" borderId="0" xfId="0" applyFont="1" applyFill="1"/>
    <xf numFmtId="14" fontId="26" fillId="4" borderId="10" xfId="0" applyNumberFormat="1" applyFont="1" applyFill="1" applyBorder="1" applyAlignment="1">
      <alignment horizontal="left" vertical="center"/>
    </xf>
    <xf numFmtId="165" fontId="28" fillId="0" borderId="15" xfId="16" applyNumberFormat="1" applyFont="1" applyBorder="1" applyAlignment="1">
      <alignment horizontal="left" vertical="center" wrapText="1"/>
    </xf>
    <xf numFmtId="0" fontId="28" fillId="0" borderId="6" xfId="8" applyNumberFormat="1" applyFont="1" applyBorder="1" applyAlignment="1">
      <alignment horizontal="center" vertical="center"/>
    </xf>
    <xf numFmtId="0" fontId="28" fillId="0" borderId="6" xfId="1" applyNumberFormat="1" applyFont="1" applyBorder="1" applyAlignment="1">
      <alignment horizontal="center" vertical="center"/>
    </xf>
    <xf numFmtId="167" fontId="28" fillId="0" borderId="6" xfId="1" applyNumberFormat="1" applyFont="1" applyFill="1" applyBorder="1" applyAlignment="1">
      <alignment vertical="center"/>
    </xf>
    <xf numFmtId="166" fontId="28" fillId="0" borderId="6" xfId="0" applyNumberFormat="1" applyFont="1" applyBorder="1" applyAlignment="1">
      <alignment vertical="center" wrapText="1"/>
    </xf>
    <xf numFmtId="0" fontId="28" fillId="2" borderId="0" xfId="0" applyFont="1" applyFill="1"/>
    <xf numFmtId="0" fontId="28" fillId="0" borderId="0" xfId="0" applyFont="1"/>
    <xf numFmtId="0" fontId="28" fillId="0" borderId="14" xfId="8" applyNumberFormat="1" applyFont="1" applyBorder="1" applyAlignment="1">
      <alignment horizontal="center" vertical="center"/>
    </xf>
    <xf numFmtId="0" fontId="28" fillId="0" borderId="14" xfId="1" applyNumberFormat="1" applyFont="1" applyBorder="1" applyAlignment="1">
      <alignment horizontal="center" vertical="center"/>
    </xf>
    <xf numFmtId="167" fontId="28" fillId="0" borderId="14" xfId="1" applyNumberFormat="1" applyFont="1" applyFill="1" applyBorder="1" applyAlignment="1">
      <alignment vertical="center"/>
    </xf>
    <xf numFmtId="0" fontId="28" fillId="0" borderId="14" xfId="8" applyNumberFormat="1" applyFont="1" applyBorder="1" applyAlignment="1">
      <alignment horizontal="center" vertical="center" wrapText="1"/>
    </xf>
    <xf numFmtId="0" fontId="28" fillId="0" borderId="14" xfId="1" applyNumberFormat="1" applyFont="1" applyBorder="1" applyAlignment="1">
      <alignment horizontal="center" vertical="center" wrapText="1"/>
    </xf>
    <xf numFmtId="167" fontId="28" fillId="0" borderId="14" xfId="1" applyNumberFormat="1" applyFont="1" applyFill="1" applyBorder="1" applyAlignment="1">
      <alignment vertical="center" wrapText="1"/>
    </xf>
    <xf numFmtId="0" fontId="28" fillId="2" borderId="0" xfId="0" applyFont="1" applyFill="1" applyAlignment="1">
      <alignment wrapText="1"/>
    </xf>
    <xf numFmtId="0" fontId="28" fillId="0" borderId="0" xfId="0" applyFont="1" applyAlignment="1">
      <alignment wrapText="1"/>
    </xf>
    <xf numFmtId="0" fontId="27" fillId="4" borderId="11" xfId="0" applyFont="1" applyFill="1" applyBorder="1" applyAlignment="1">
      <alignment vertical="center"/>
    </xf>
    <xf numFmtId="0" fontId="27" fillId="4" borderId="12" xfId="0" applyFont="1" applyFill="1" applyBorder="1" applyAlignment="1">
      <alignment vertical="center"/>
    </xf>
    <xf numFmtId="166" fontId="28" fillId="0" borderId="16" xfId="1" applyNumberFormat="1" applyFont="1" applyFill="1" applyBorder="1" applyAlignment="1">
      <alignment vertical="center" wrapText="1"/>
    </xf>
    <xf numFmtId="0" fontId="28" fillId="0" borderId="0" xfId="16" applyFont="1"/>
    <xf numFmtId="0" fontId="28" fillId="0" borderId="14" xfId="1" applyNumberFormat="1" applyFont="1" applyFill="1" applyBorder="1" applyAlignment="1">
      <alignment horizontal="center" vertical="center"/>
    </xf>
    <xf numFmtId="0" fontId="28" fillId="0" borderId="0" xfId="0" applyFont="1" applyAlignment="1">
      <alignment vertical="center"/>
    </xf>
    <xf numFmtId="0" fontId="9" fillId="0" borderId="0" xfId="16" applyFont="1"/>
    <xf numFmtId="43" fontId="26" fillId="3" borderId="8" xfId="0" applyNumberFormat="1" applyFont="1" applyFill="1" applyBorder="1" applyAlignment="1">
      <alignment vertical="center" wrapText="1"/>
    </xf>
    <xf numFmtId="43" fontId="26" fillId="3" borderId="9" xfId="0" applyNumberFormat="1" applyFont="1" applyFill="1" applyBorder="1" applyAlignment="1">
      <alignment vertical="center" wrapText="1"/>
    </xf>
    <xf numFmtId="43" fontId="26" fillId="3" borderId="1" xfId="0" applyNumberFormat="1" applyFont="1" applyFill="1" applyBorder="1" applyAlignment="1">
      <alignment vertical="center" wrapText="1"/>
    </xf>
    <xf numFmtId="43" fontId="26" fillId="3" borderId="5" xfId="0" applyNumberFormat="1" applyFont="1" applyFill="1" applyBorder="1" applyAlignment="1">
      <alignment vertical="center" wrapText="1"/>
    </xf>
    <xf numFmtId="43" fontId="14" fillId="0" borderId="0" xfId="0" applyNumberFormat="1" applyFont="1" applyAlignment="1">
      <alignment horizontal="left" vertical="center" wrapText="1"/>
    </xf>
    <xf numFmtId="0" fontId="8" fillId="0" borderId="0" xfId="8" applyNumberFormat="1" applyFont="1" applyFill="1" applyBorder="1" applyAlignment="1">
      <alignment horizontal="center" vertical="center" wrapText="1"/>
    </xf>
    <xf numFmtId="0" fontId="14" fillId="0" borderId="0" xfId="1" applyNumberFormat="1" applyFont="1" applyFill="1" applyBorder="1" applyAlignment="1">
      <alignment horizontal="center" vertical="center" wrapText="1"/>
    </xf>
    <xf numFmtId="44" fontId="8" fillId="0" borderId="0" xfId="8" applyFont="1" applyFill="1" applyBorder="1" applyAlignment="1">
      <alignment horizontal="left" vertical="center" wrapText="1"/>
    </xf>
    <xf numFmtId="166" fontId="14" fillId="0" borderId="0" xfId="8" applyNumberFormat="1" applyFont="1" applyFill="1" applyBorder="1" applyAlignment="1">
      <alignment horizontal="center" vertical="center" wrapText="1"/>
    </xf>
    <xf numFmtId="44" fontId="14" fillId="0" borderId="0" xfId="0" applyNumberFormat="1" applyFont="1" applyAlignment="1">
      <alignment horizontal="left" vertical="center" wrapText="1"/>
    </xf>
    <xf numFmtId="43" fontId="26" fillId="3" borderId="10" xfId="0" applyNumberFormat="1" applyFont="1" applyFill="1" applyBorder="1" applyAlignment="1">
      <alignment horizontal="center" vertical="center" wrapText="1"/>
    </xf>
    <xf numFmtId="0" fontId="26" fillId="3" borderId="11" xfId="0" applyFont="1" applyFill="1" applyBorder="1" applyAlignment="1">
      <alignment horizontal="center" vertical="center"/>
    </xf>
    <xf numFmtId="0" fontId="26" fillId="3" borderId="11" xfId="1" applyNumberFormat="1" applyFont="1" applyFill="1" applyBorder="1" applyAlignment="1">
      <alignment horizontal="center" vertical="center"/>
    </xf>
    <xf numFmtId="0" fontId="26" fillId="3" borderId="11" xfId="0" applyFont="1" applyFill="1" applyBorder="1" applyAlignment="1">
      <alignment horizontal="center" vertical="center" wrapText="1"/>
    </xf>
    <xf numFmtId="0" fontId="26" fillId="3" borderId="11" xfId="0" applyFont="1" applyFill="1" applyBorder="1" applyAlignment="1">
      <alignment horizontal="right" vertical="center" wrapText="1"/>
    </xf>
    <xf numFmtId="0" fontId="26" fillId="3" borderId="12" xfId="0" applyFont="1" applyFill="1" applyBorder="1" applyAlignment="1">
      <alignment horizontal="center" vertical="center"/>
    </xf>
    <xf numFmtId="0" fontId="8" fillId="5" borderId="0" xfId="8" applyNumberFormat="1" applyFont="1" applyFill="1" applyBorder="1" applyAlignment="1">
      <alignment horizontal="center" vertical="center" wrapText="1"/>
    </xf>
    <xf numFmtId="0" fontId="14" fillId="5" borderId="0" xfId="1" applyNumberFormat="1" applyFont="1" applyFill="1" applyBorder="1" applyAlignment="1">
      <alignment horizontal="center" vertical="center" wrapText="1"/>
    </xf>
    <xf numFmtId="44" fontId="8" fillId="5" borderId="0" xfId="8" applyFont="1" applyFill="1" applyBorder="1" applyAlignment="1">
      <alignment horizontal="left" vertical="center" wrapText="1"/>
    </xf>
    <xf numFmtId="44" fontId="14" fillId="5" borderId="3" xfId="0" applyNumberFormat="1" applyFont="1" applyFill="1" applyBorder="1" applyAlignment="1">
      <alignment horizontal="left" vertical="center" wrapText="1"/>
    </xf>
    <xf numFmtId="0" fontId="29" fillId="5" borderId="1" xfId="8" applyNumberFormat="1" applyFont="1" applyFill="1" applyBorder="1" applyAlignment="1">
      <alignment horizontal="center"/>
    </xf>
    <xf numFmtId="0" fontId="8" fillId="5" borderId="1" xfId="1" applyNumberFormat="1" applyFont="1" applyFill="1" applyBorder="1" applyAlignment="1">
      <alignment horizontal="center" vertical="center"/>
    </xf>
    <xf numFmtId="44" fontId="29" fillId="5" borderId="1" xfId="8" applyFont="1" applyFill="1" applyBorder="1"/>
    <xf numFmtId="44" fontId="8" fillId="5" borderId="5" xfId="8" applyFont="1" applyFill="1" applyBorder="1"/>
    <xf numFmtId="0" fontId="8" fillId="5" borderId="8" xfId="8" applyNumberFormat="1" applyFont="1" applyFill="1" applyBorder="1" applyAlignment="1">
      <alignment horizontal="center" vertical="center" wrapText="1"/>
    </xf>
    <xf numFmtId="0" fontId="14" fillId="5" borderId="8" xfId="1" applyNumberFormat="1" applyFont="1" applyFill="1" applyBorder="1" applyAlignment="1">
      <alignment horizontal="center" vertical="center" wrapText="1"/>
    </xf>
    <xf numFmtId="44" fontId="8" fillId="5" borderId="8" xfId="8" applyFont="1" applyFill="1" applyBorder="1" applyAlignment="1">
      <alignment horizontal="left" vertical="center" wrapText="1"/>
    </xf>
    <xf numFmtId="44" fontId="14" fillId="5" borderId="9" xfId="0" applyNumberFormat="1" applyFont="1" applyFill="1" applyBorder="1" applyAlignment="1">
      <alignment horizontal="left" vertical="center" wrapText="1"/>
    </xf>
    <xf numFmtId="0" fontId="27" fillId="3" borderId="8" xfId="8" applyNumberFormat="1" applyFont="1" applyFill="1" applyBorder="1" applyAlignment="1">
      <alignment horizontal="center" vertical="center" wrapText="1"/>
    </xf>
    <xf numFmtId="0" fontId="26" fillId="3" borderId="8" xfId="1" applyNumberFormat="1" applyFont="1" applyFill="1" applyBorder="1" applyAlignment="1">
      <alignment horizontal="center" vertical="center" wrapText="1"/>
    </xf>
    <xf numFmtId="44" fontId="27" fillId="3" borderId="8" xfId="8" applyFont="1" applyFill="1" applyBorder="1" applyAlignment="1">
      <alignment horizontal="left" vertical="center" wrapText="1"/>
    </xf>
    <xf numFmtId="44" fontId="26" fillId="3" borderId="9" xfId="0" applyNumberFormat="1" applyFont="1" applyFill="1" applyBorder="1" applyAlignment="1">
      <alignment horizontal="left" vertical="center" wrapText="1"/>
    </xf>
    <xf numFmtId="0" fontId="30" fillId="3" borderId="1" xfId="8" applyNumberFormat="1" applyFont="1" applyFill="1" applyBorder="1" applyAlignment="1">
      <alignment horizontal="center"/>
    </xf>
    <xf numFmtId="0" fontId="27" fillId="3" borderId="1" xfId="1" applyNumberFormat="1" applyFont="1" applyFill="1" applyBorder="1" applyAlignment="1">
      <alignment horizontal="center" vertical="center"/>
    </xf>
    <xf numFmtId="44" fontId="30" fillId="3" borderId="1" xfId="8" applyFont="1" applyFill="1" applyBorder="1"/>
    <xf numFmtId="44" fontId="27" fillId="3" borderId="5" xfId="8" applyFont="1" applyFill="1" applyBorder="1"/>
    <xf numFmtId="44" fontId="14" fillId="0" borderId="9" xfId="0" applyNumberFormat="1" applyFont="1" applyBorder="1" applyAlignment="1">
      <alignment horizontal="left" vertical="center" wrapText="1"/>
    </xf>
    <xf numFmtId="44" fontId="8" fillId="0" borderId="5" xfId="8" applyFont="1" applyFill="1" applyBorder="1"/>
    <xf numFmtId="0" fontId="14" fillId="0" borderId="0" xfId="0" applyFont="1"/>
    <xf numFmtId="0" fontId="8" fillId="0" borderId="0" xfId="1" applyNumberFormat="1" applyFont="1" applyAlignment="1">
      <alignment horizontal="center" vertical="center"/>
    </xf>
    <xf numFmtId="43" fontId="26" fillId="3" borderId="13" xfId="0" applyNumberFormat="1" applyFont="1" applyFill="1" applyBorder="1" applyAlignment="1">
      <alignment horizontal="center" vertical="center"/>
    </xf>
    <xf numFmtId="0" fontId="26" fillId="3" borderId="13" xfId="0" applyFont="1" applyFill="1" applyBorder="1" applyAlignment="1">
      <alignment horizontal="center" vertical="center"/>
    </xf>
    <xf numFmtId="0" fontId="26" fillId="3" borderId="13" xfId="1" applyNumberFormat="1" applyFont="1" applyFill="1" applyBorder="1" applyAlignment="1">
      <alignment horizontal="center" vertical="center"/>
    </xf>
    <xf numFmtId="0" fontId="26" fillId="3" borderId="13" xfId="0" applyFont="1" applyFill="1" applyBorder="1" applyAlignment="1">
      <alignment horizontal="center" vertical="center" wrapText="1"/>
    </xf>
    <xf numFmtId="0" fontId="28" fillId="0" borderId="6" xfId="0" applyFont="1" applyBorder="1" applyAlignment="1">
      <alignment vertical="center"/>
    </xf>
    <xf numFmtId="166" fontId="28" fillId="0" borderId="6" xfId="1" applyNumberFormat="1" applyFont="1" applyFill="1" applyBorder="1" applyAlignment="1">
      <alignment wrapText="1"/>
    </xf>
    <xf numFmtId="0" fontId="28" fillId="0" borderId="6" xfId="1" applyNumberFormat="1" applyFont="1" applyFill="1" applyBorder="1" applyAlignment="1">
      <alignment horizontal="center" vertical="center"/>
    </xf>
    <xf numFmtId="0" fontId="8" fillId="0" borderId="23" xfId="0" applyFont="1" applyBorder="1"/>
    <xf numFmtId="0" fontId="8" fillId="0" borderId="0" xfId="1" applyNumberFormat="1" applyFont="1" applyFill="1" applyBorder="1" applyAlignment="1">
      <alignment horizontal="center" vertical="center"/>
    </xf>
    <xf numFmtId="0" fontId="8" fillId="0" borderId="24" xfId="0" applyFont="1" applyBorder="1"/>
    <xf numFmtId="0" fontId="8" fillId="0" borderId="25" xfId="0" applyFont="1" applyBorder="1"/>
    <xf numFmtId="0" fontId="8" fillId="0" borderId="26" xfId="0" applyFont="1" applyBorder="1" applyAlignment="1">
      <alignment horizontal="center"/>
    </xf>
    <xf numFmtId="0" fontId="8" fillId="0" borderId="26" xfId="1" applyNumberFormat="1" applyFont="1" applyBorder="1" applyAlignment="1">
      <alignment horizontal="center" vertical="center"/>
    </xf>
    <xf numFmtId="0" fontId="8" fillId="0" borderId="26" xfId="0" applyFont="1" applyBorder="1"/>
    <xf numFmtId="0" fontId="8" fillId="0" borderId="27" xfId="0" applyFont="1" applyBorder="1"/>
    <xf numFmtId="43" fontId="26" fillId="0" borderId="0" xfId="0" applyNumberFormat="1" applyFont="1" applyAlignment="1">
      <alignment horizontal="left" vertical="center" wrapText="1"/>
    </xf>
    <xf numFmtId="0" fontId="27" fillId="0" borderId="0" xfId="8" applyNumberFormat="1" applyFont="1" applyFill="1" applyBorder="1" applyAlignment="1">
      <alignment horizontal="center" vertical="center" wrapText="1"/>
    </xf>
    <xf numFmtId="0" fontId="26" fillId="0" borderId="0" xfId="1" applyNumberFormat="1" applyFont="1" applyFill="1" applyBorder="1" applyAlignment="1">
      <alignment horizontal="center" vertical="center" wrapText="1"/>
    </xf>
    <xf numFmtId="44" fontId="27" fillId="0" borderId="0" xfId="8" applyFont="1" applyFill="1" applyBorder="1" applyAlignment="1">
      <alignment horizontal="left" vertical="center" wrapText="1"/>
    </xf>
    <xf numFmtId="167" fontId="26" fillId="0" borderId="0" xfId="0" applyNumberFormat="1" applyFont="1" applyAlignment="1">
      <alignment horizontal="right" vertical="center" wrapText="1"/>
    </xf>
    <xf numFmtId="166" fontId="26" fillId="0" borderId="0" xfId="0" applyNumberFormat="1" applyFont="1" applyAlignment="1">
      <alignment horizontal="left" vertical="center" wrapText="1"/>
    </xf>
    <xf numFmtId="0" fontId="31" fillId="0" borderId="0" xfId="0" applyFont="1" applyAlignment="1">
      <alignment vertical="center" wrapText="1"/>
    </xf>
    <xf numFmtId="0" fontId="32" fillId="0" borderId="6" xfId="0" applyFont="1" applyBorder="1" applyAlignment="1">
      <alignment wrapText="1"/>
    </xf>
    <xf numFmtId="0" fontId="33" fillId="0" borderId="6" xfId="0" applyFont="1" applyBorder="1" applyAlignment="1">
      <alignment wrapText="1"/>
    </xf>
    <xf numFmtId="43" fontId="14" fillId="0" borderId="8" xfId="0" applyNumberFormat="1" applyFont="1" applyBorder="1" applyAlignment="1">
      <alignment horizontal="left" vertical="center" wrapText="1"/>
    </xf>
    <xf numFmtId="43" fontId="14" fillId="5" borderId="7" xfId="0" applyNumberFormat="1" applyFont="1" applyFill="1" applyBorder="1" applyAlignment="1">
      <alignment horizontal="left" vertical="center" wrapText="1"/>
    </xf>
    <xf numFmtId="43" fontId="14" fillId="5" borderId="4" xfId="0" applyNumberFormat="1" applyFont="1" applyFill="1" applyBorder="1" applyAlignment="1">
      <alignment horizontal="left" vertical="center" wrapText="1"/>
    </xf>
    <xf numFmtId="167" fontId="14" fillId="5" borderId="8" xfId="8" applyNumberFormat="1" applyFont="1" applyFill="1" applyBorder="1" applyAlignment="1">
      <alignment horizontal="right" vertical="center" wrapText="1"/>
    </xf>
    <xf numFmtId="43" fontId="26" fillId="3" borderId="7" xfId="0" applyNumberFormat="1" applyFont="1" applyFill="1" applyBorder="1" applyAlignment="1">
      <alignment horizontal="left" vertical="center" wrapText="1"/>
    </xf>
    <xf numFmtId="43" fontId="26" fillId="3" borderId="4" xfId="0" applyNumberFormat="1" applyFont="1" applyFill="1" applyBorder="1" applyAlignment="1">
      <alignment horizontal="left" vertical="center" wrapText="1"/>
    </xf>
    <xf numFmtId="167" fontId="26" fillId="3" borderId="8" xfId="8" applyNumberFormat="1" applyFont="1" applyFill="1" applyBorder="1" applyAlignment="1">
      <alignment horizontal="right" vertical="center" wrapText="1"/>
    </xf>
    <xf numFmtId="43" fontId="14" fillId="0" borderId="7" xfId="0" applyNumberFormat="1" applyFont="1" applyBorder="1" applyAlignment="1">
      <alignment horizontal="left" vertical="center" wrapText="1"/>
    </xf>
    <xf numFmtId="43" fontId="14" fillId="0" borderId="4" xfId="0" applyNumberFormat="1" applyFont="1" applyBorder="1" applyAlignment="1">
      <alignment horizontal="left" vertical="center" wrapText="1"/>
    </xf>
    <xf numFmtId="0" fontId="8" fillId="0" borderId="8" xfId="8" applyNumberFormat="1" applyFont="1" applyFill="1" applyBorder="1" applyAlignment="1">
      <alignment horizontal="center" vertical="center" wrapText="1"/>
    </xf>
    <xf numFmtId="0" fontId="8" fillId="0" borderId="11" xfId="8" applyNumberFormat="1" applyFont="1" applyFill="1" applyBorder="1" applyAlignment="1">
      <alignment horizontal="center" vertical="center" wrapText="1"/>
    </xf>
    <xf numFmtId="167" fontId="14" fillId="0" borderId="8" xfId="8" applyNumberFormat="1" applyFont="1" applyFill="1" applyBorder="1" applyAlignment="1">
      <alignment horizontal="right" vertical="center" wrapText="1"/>
    </xf>
    <xf numFmtId="167" fontId="14" fillId="0" borderId="11" xfId="8" applyNumberFormat="1" applyFont="1" applyFill="1" applyBorder="1" applyAlignment="1">
      <alignment horizontal="right" vertical="center" wrapText="1"/>
    </xf>
    <xf numFmtId="0" fontId="23" fillId="0" borderId="17" xfId="0" applyFont="1" applyBorder="1" applyAlignment="1">
      <alignment horizontal="center" vertical="top" wrapText="1"/>
    </xf>
    <xf numFmtId="0" fontId="23" fillId="0" borderId="18" xfId="0" applyFont="1" applyBorder="1" applyAlignment="1">
      <alignment horizontal="center" vertical="top" wrapText="1"/>
    </xf>
    <xf numFmtId="0" fontId="23" fillId="0" borderId="19" xfId="0" applyFont="1" applyBorder="1" applyAlignment="1">
      <alignment horizontal="center" vertical="top" wrapText="1"/>
    </xf>
    <xf numFmtId="0" fontId="26" fillId="3" borderId="10" xfId="0" applyFont="1" applyFill="1" applyBorder="1" applyAlignment="1">
      <alignment horizontal="left" vertical="center"/>
    </xf>
    <xf numFmtId="0" fontId="26" fillId="3" borderId="11" xfId="0" applyFont="1" applyFill="1" applyBorder="1" applyAlignment="1">
      <alignment horizontal="left" vertical="center"/>
    </xf>
    <xf numFmtId="14" fontId="26" fillId="4" borderId="10" xfId="0" applyNumberFormat="1" applyFont="1" applyFill="1" applyBorder="1" applyAlignment="1">
      <alignment horizontal="left" vertical="center"/>
    </xf>
    <xf numFmtId="14" fontId="26" fillId="4" borderId="11" xfId="0" applyNumberFormat="1" applyFont="1" applyFill="1" applyBorder="1" applyAlignment="1">
      <alignment horizontal="left" vertical="center"/>
    </xf>
    <xf numFmtId="14" fontId="26" fillId="4" borderId="12" xfId="0" applyNumberFormat="1" applyFont="1" applyFill="1" applyBorder="1" applyAlignment="1">
      <alignment horizontal="left" vertical="center"/>
    </xf>
    <xf numFmtId="167" fontId="26" fillId="3" borderId="8" xfId="0" applyNumberFormat="1" applyFont="1" applyFill="1" applyBorder="1" applyAlignment="1">
      <alignment horizontal="right" vertical="center" wrapText="1"/>
    </xf>
    <xf numFmtId="167" fontId="26" fillId="3" borderId="1" xfId="0" applyNumberFormat="1" applyFont="1" applyFill="1" applyBorder="1" applyAlignment="1">
      <alignment horizontal="right" vertical="center" wrapText="1"/>
    </xf>
    <xf numFmtId="0" fontId="26" fillId="4" borderId="10" xfId="0" applyFont="1" applyFill="1" applyBorder="1" applyAlignment="1">
      <alignment horizontal="left" vertical="center"/>
    </xf>
    <xf numFmtId="0" fontId="26" fillId="4" borderId="11" xfId="0" applyFont="1" applyFill="1" applyBorder="1" applyAlignment="1">
      <alignment horizontal="left" vertical="center"/>
    </xf>
    <xf numFmtId="0" fontId="26" fillId="4" borderId="12" xfId="0" applyFont="1" applyFill="1" applyBorder="1" applyAlignment="1">
      <alignment horizontal="left" vertical="center"/>
    </xf>
    <xf numFmtId="43" fontId="26" fillId="3" borderId="14" xfId="0" applyNumberFormat="1" applyFont="1" applyFill="1" applyBorder="1" applyAlignment="1">
      <alignment horizontal="left" vertical="center" wrapText="1"/>
    </xf>
    <xf numFmtId="43" fontId="26" fillId="3" borderId="13" xfId="0" applyNumberFormat="1" applyFont="1" applyFill="1" applyBorder="1" applyAlignment="1">
      <alignment horizontal="left" vertical="center" wrapText="1"/>
    </xf>
    <xf numFmtId="0" fontId="27" fillId="3" borderId="14" xfId="8" applyNumberFormat="1" applyFont="1" applyFill="1" applyBorder="1" applyAlignment="1">
      <alignment horizontal="center" vertical="center" wrapText="1"/>
    </xf>
    <xf numFmtId="0" fontId="27" fillId="3" borderId="13" xfId="8" applyNumberFormat="1" applyFont="1" applyFill="1" applyBorder="1" applyAlignment="1">
      <alignment horizontal="center" vertical="center" wrapText="1"/>
    </xf>
    <xf numFmtId="0" fontId="26" fillId="3" borderId="14" xfId="1" applyNumberFormat="1" applyFont="1" applyFill="1" applyBorder="1" applyAlignment="1">
      <alignment horizontal="center" vertical="center" wrapText="1"/>
    </xf>
    <xf numFmtId="0" fontId="26" fillId="3" borderId="13" xfId="1" applyNumberFormat="1" applyFont="1" applyFill="1" applyBorder="1" applyAlignment="1">
      <alignment horizontal="center" vertical="center" wrapText="1"/>
    </xf>
    <xf numFmtId="44" fontId="27" fillId="3" borderId="14" xfId="8" applyFont="1" applyFill="1" applyBorder="1" applyAlignment="1">
      <alignment horizontal="left" vertical="center" wrapText="1"/>
    </xf>
    <xf numFmtId="44" fontId="27" fillId="3" borderId="13" xfId="8" applyFont="1" applyFill="1" applyBorder="1" applyAlignment="1">
      <alignment horizontal="left" vertical="center" wrapText="1"/>
    </xf>
    <xf numFmtId="167" fontId="26" fillId="3" borderId="14" xfId="0" applyNumberFormat="1" applyFont="1" applyFill="1" applyBorder="1" applyAlignment="1">
      <alignment horizontal="right" vertical="center" wrapText="1"/>
    </xf>
    <xf numFmtId="167" fontId="26" fillId="3" borderId="13" xfId="0" applyNumberFormat="1" applyFont="1" applyFill="1" applyBorder="1" applyAlignment="1">
      <alignment horizontal="right" vertical="center" wrapText="1"/>
    </xf>
    <xf numFmtId="166" fontId="26" fillId="3" borderId="14" xfId="0" applyNumberFormat="1" applyFont="1" applyFill="1" applyBorder="1" applyAlignment="1">
      <alignment horizontal="left" vertical="center" wrapText="1"/>
    </xf>
    <xf numFmtId="166" fontId="26" fillId="3" borderId="13" xfId="0" applyNumberFormat="1" applyFont="1" applyFill="1" applyBorder="1" applyAlignment="1">
      <alignment horizontal="left" vertical="center" wrapText="1"/>
    </xf>
    <xf numFmtId="0" fontId="13" fillId="0" borderId="0" xfId="7" applyFont="1" applyAlignment="1" applyProtection="1">
      <alignment horizontal="left" vertical="center" wrapText="1"/>
      <protection locked="0"/>
    </xf>
    <xf numFmtId="0" fontId="13" fillId="0" borderId="3" xfId="7" applyFont="1" applyBorder="1" applyAlignment="1" applyProtection="1">
      <alignment horizontal="left" vertical="center" wrapText="1"/>
      <protection locked="0"/>
    </xf>
    <xf numFmtId="0" fontId="14" fillId="0" borderId="2" xfId="7" applyFont="1" applyBorder="1" applyAlignment="1" applyProtection="1">
      <alignment vertical="center" wrapText="1"/>
      <protection locked="0"/>
    </xf>
    <xf numFmtId="0" fontId="14" fillId="0" borderId="0" xfId="7" applyFont="1" applyAlignment="1" applyProtection="1">
      <alignment vertical="center" wrapText="1"/>
      <protection locked="0"/>
    </xf>
    <xf numFmtId="0" fontId="14" fillId="0" borderId="3" xfId="7" applyFont="1" applyBorder="1" applyAlignment="1" applyProtection="1">
      <alignment vertical="center" wrapText="1"/>
      <protection locked="0"/>
    </xf>
    <xf numFmtId="0" fontId="14" fillId="0" borderId="2" xfId="0" applyFont="1" applyBorder="1" applyAlignment="1">
      <alignment vertical="top" wrapText="1"/>
    </xf>
    <xf numFmtId="0" fontId="14" fillId="0" borderId="0" xfId="0" applyFont="1" applyAlignment="1">
      <alignment vertical="top" wrapText="1"/>
    </xf>
    <xf numFmtId="0" fontId="8" fillId="0" borderId="0" xfId="0" applyFont="1" applyAlignment="1">
      <alignment vertical="top" wrapText="1"/>
    </xf>
    <xf numFmtId="0" fontId="8" fillId="0" borderId="3" xfId="0" applyFont="1" applyBorder="1" applyAlignment="1">
      <alignment vertical="top" wrapText="1"/>
    </xf>
    <xf numFmtId="0" fontId="8" fillId="0" borderId="20" xfId="0" applyFont="1" applyBorder="1" applyAlignment="1">
      <alignment horizontal="center"/>
    </xf>
    <xf numFmtId="0" fontId="8" fillId="0" borderId="21" xfId="0" applyFont="1" applyBorder="1" applyAlignment="1">
      <alignment horizontal="center"/>
    </xf>
    <xf numFmtId="0" fontId="8" fillId="0" borderId="22" xfId="0" applyFont="1" applyBorder="1" applyAlignment="1">
      <alignment horizontal="center"/>
    </xf>
    <xf numFmtId="0" fontId="10" fillId="3" borderId="2" xfId="0" applyFont="1" applyFill="1" applyBorder="1" applyAlignment="1">
      <alignment horizontal="center" vertical="center"/>
    </xf>
    <xf numFmtId="0" fontId="10" fillId="3" borderId="0" xfId="0" applyFont="1" applyFill="1" applyAlignment="1">
      <alignment horizontal="center" vertical="center"/>
    </xf>
    <xf numFmtId="0" fontId="10" fillId="3" borderId="3" xfId="0" applyFont="1" applyFill="1" applyBorder="1" applyAlignment="1">
      <alignment horizontal="center" vertical="center"/>
    </xf>
    <xf numFmtId="0" fontId="13" fillId="0" borderId="0" xfId="7" applyFont="1" applyAlignment="1" applyProtection="1">
      <alignment horizontal="left" vertical="center"/>
      <protection locked="0"/>
    </xf>
    <xf numFmtId="0" fontId="13" fillId="0" borderId="3" xfId="7" applyFont="1" applyBorder="1" applyAlignment="1" applyProtection="1">
      <alignment horizontal="left" vertical="center"/>
      <protection locked="0"/>
    </xf>
  </cellXfs>
  <cellStyles count="17">
    <cellStyle name="Currency" xfId="1" builtinId="4"/>
    <cellStyle name="Currency 2" xfId="2" xr:uid="{00000000-0005-0000-0000-000000000000}"/>
    <cellStyle name="Currency 2 2" xfId="8" xr:uid="{00000000-0005-0000-0000-000001000000}"/>
    <cellStyle name="Currency 2 3" xfId="6" xr:uid="{00000000-0005-0000-0000-000002000000}"/>
    <cellStyle name="Currency 2 4" xfId="13" xr:uid="{00000000-0005-0000-0000-000003000000}"/>
    <cellStyle name="Currency 3" xfId="3" xr:uid="{00000000-0005-0000-0000-000004000000}"/>
    <cellStyle name="Currency 4" xfId="12" xr:uid="{00000000-0005-0000-0000-000005000000}"/>
    <cellStyle name="Hyperlink" xfId="14" builtinId="8"/>
    <cellStyle name="Normal" xfId="0" builtinId="0"/>
    <cellStyle name="Normal 2" xfId="7" xr:uid="{00000000-0005-0000-0000-000008000000}"/>
    <cellStyle name="Normal 2 2" xfId="5" xr:uid="{00000000-0005-0000-0000-000009000000}"/>
    <cellStyle name="Normal 2 2 3" xfId="11" xr:uid="{00000000-0005-0000-0000-00000A000000}"/>
    <cellStyle name="Normal 2 3" xfId="9" xr:uid="{00000000-0005-0000-0000-00000B000000}"/>
    <cellStyle name="Normal 3" xfId="10" xr:uid="{00000000-0005-0000-0000-00000C000000}"/>
    <cellStyle name="Normal 4" xfId="15" xr:uid="{59B47BC1-E1E7-410D-BE39-8D809A8D2724}"/>
    <cellStyle name="Normal 5" xfId="16" xr:uid="{9A800BB8-829C-4E00-8506-494AAD91D2DC}"/>
    <cellStyle name="Normal 7" xfId="4" xr:uid="{00000000-0005-0000-0000-00000D000000}"/>
  </cellStyles>
  <dxfs count="0"/>
  <tableStyles count="0" defaultTableStyle="TableStyleMedium2" defaultPivotStyle="PivotStyleLight16"/>
  <colors>
    <mruColors>
      <color rgb="FF0F4B9A"/>
      <color rgb="FFDDDDDD"/>
      <color rgb="FFEEEEEE"/>
      <color rgb="FF757575"/>
      <color rgb="FF505050"/>
      <color rgb="FFFFF59B"/>
      <color rgb="FF575656"/>
      <color rgb="FF009193"/>
      <color rgb="FF5E5C59"/>
      <color rgb="FFD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5</xdr:col>
      <xdr:colOff>1785407</xdr:colOff>
      <xdr:row>1</xdr:row>
      <xdr:rowOff>5169</xdr:rowOff>
    </xdr:to>
    <xdr:pic>
      <xdr:nvPicPr>
        <xdr:cNvPr id="2" name="Obrázek 2">
          <a:extLst>
            <a:ext uri="{FF2B5EF4-FFF2-40B4-BE49-F238E27FC236}">
              <a16:creationId xmlns:a16="http://schemas.microsoft.com/office/drawing/2014/main" id="{6E10BAB0-CD10-B74B-90FD-932FE918EF19}"/>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9786407" cy="20244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radissonhotels.com/en-us/hotels/radisson-individuals-royan-hagia-sophia-istanbu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E319-21D4-024E-9024-5901D9A58D85}">
  <dimension ref="A1:H126"/>
  <sheetViews>
    <sheetView tabSelected="1" workbookViewId="0">
      <selection activeCell="I3" sqref="I3"/>
    </sheetView>
  </sheetViews>
  <sheetFormatPr baseColWidth="10" defaultColWidth="8.83203125" defaultRowHeight="14" x14ac:dyDescent="0.15"/>
  <cols>
    <col min="1" max="1" width="61" style="2" customWidth="1"/>
    <col min="2" max="2" width="8.5" style="3" bestFit="1" customWidth="1"/>
    <col min="3" max="3" width="9.1640625" style="95" customWidth="1"/>
    <col min="4" max="4" width="13.83203125" style="2" customWidth="1"/>
    <col min="5" max="5" width="12.5" style="2" bestFit="1" customWidth="1"/>
    <col min="6" max="6" width="53.1640625" style="2" customWidth="1"/>
    <col min="7" max="16384" width="8.83203125" style="1"/>
  </cols>
  <sheetData>
    <row r="1" spans="1:8" ht="159" customHeight="1" x14ac:dyDescent="0.15">
      <c r="A1" s="167"/>
      <c r="B1" s="168"/>
      <c r="C1" s="168"/>
      <c r="D1" s="168"/>
      <c r="E1" s="168"/>
      <c r="F1" s="169"/>
    </row>
    <row r="2" spans="1:8" x14ac:dyDescent="0.15">
      <c r="A2" s="103"/>
      <c r="C2" s="104"/>
      <c r="F2" s="105"/>
    </row>
    <row r="3" spans="1:8" x14ac:dyDescent="0.15">
      <c r="A3" s="103"/>
      <c r="C3" s="104"/>
      <c r="F3" s="105"/>
    </row>
    <row r="4" spans="1:8" ht="15" thickBot="1" x14ac:dyDescent="0.2">
      <c r="A4" s="106"/>
      <c r="B4" s="107"/>
      <c r="C4" s="108"/>
      <c r="D4" s="109"/>
      <c r="E4" s="109"/>
      <c r="F4" s="110"/>
    </row>
    <row r="5" spans="1:8" ht="23" x14ac:dyDescent="0.15">
      <c r="A5" s="170" t="s">
        <v>0</v>
      </c>
      <c r="B5" s="171"/>
      <c r="C5" s="171"/>
      <c r="D5" s="171"/>
      <c r="E5" s="171"/>
      <c r="F5" s="172"/>
      <c r="G5" s="4"/>
    </row>
    <row r="6" spans="1:8" ht="17" x14ac:dyDescent="0.15">
      <c r="A6" s="5" t="s">
        <v>1</v>
      </c>
      <c r="B6" s="173" t="s">
        <v>57</v>
      </c>
      <c r="C6" s="173"/>
      <c r="D6" s="173"/>
      <c r="E6" s="173"/>
      <c r="F6" s="174"/>
    </row>
    <row r="7" spans="1:8" ht="17" x14ac:dyDescent="0.15">
      <c r="A7" s="5" t="s">
        <v>2</v>
      </c>
      <c r="B7" s="173" t="s">
        <v>34</v>
      </c>
      <c r="C7" s="173"/>
      <c r="D7" s="173"/>
      <c r="E7" s="173"/>
      <c r="F7" s="174"/>
    </row>
    <row r="8" spans="1:8" ht="17" x14ac:dyDescent="0.15">
      <c r="A8" s="5" t="s">
        <v>3</v>
      </c>
      <c r="B8" s="173" t="s">
        <v>64</v>
      </c>
      <c r="C8" s="173"/>
      <c r="D8" s="173"/>
      <c r="E8" s="173"/>
      <c r="F8" s="174"/>
    </row>
    <row r="9" spans="1:8" ht="17" x14ac:dyDescent="0.15">
      <c r="A9" s="5" t="s">
        <v>4</v>
      </c>
      <c r="B9" s="173" t="s">
        <v>58</v>
      </c>
      <c r="C9" s="173"/>
      <c r="D9" s="173"/>
      <c r="E9" s="173"/>
      <c r="F9" s="174"/>
    </row>
    <row r="10" spans="1:8" ht="17" x14ac:dyDescent="0.15">
      <c r="A10" s="5" t="s">
        <v>5</v>
      </c>
      <c r="B10" s="158" t="s">
        <v>35</v>
      </c>
      <c r="C10" s="158"/>
      <c r="D10" s="158"/>
      <c r="E10" s="158"/>
      <c r="F10" s="159"/>
    </row>
    <row r="11" spans="1:8" ht="16" x14ac:dyDescent="0.15">
      <c r="A11" s="5"/>
      <c r="B11" s="6"/>
      <c r="C11" s="6"/>
      <c r="D11" s="6"/>
      <c r="E11" s="6"/>
      <c r="F11" s="7"/>
    </row>
    <row r="12" spans="1:8" ht="17" x14ac:dyDescent="0.15">
      <c r="A12" s="8" t="s">
        <v>43</v>
      </c>
      <c r="B12" s="9"/>
      <c r="C12" s="9"/>
      <c r="D12" s="9"/>
      <c r="E12" s="9"/>
      <c r="F12" s="10"/>
    </row>
    <row r="13" spans="1:8" ht="16" x14ac:dyDescent="0.15">
      <c r="A13" s="11" t="s">
        <v>44</v>
      </c>
      <c r="B13" s="9"/>
      <c r="C13" s="9"/>
      <c r="D13" s="9"/>
      <c r="E13" s="9"/>
      <c r="F13" s="10"/>
      <c r="G13" s="12"/>
      <c r="H13" s="13"/>
    </row>
    <row r="14" spans="1:8" ht="16.5" customHeight="1" x14ac:dyDescent="0.15">
      <c r="A14" s="11" t="s">
        <v>6</v>
      </c>
      <c r="B14" s="14" t="s">
        <v>59</v>
      </c>
      <c r="C14" s="15"/>
      <c r="D14" s="15"/>
      <c r="E14" s="15"/>
      <c r="F14" s="16"/>
    </row>
    <row r="15" spans="1:8" ht="16.5" customHeight="1" x14ac:dyDescent="0.15">
      <c r="A15" s="11"/>
      <c r="B15" s="17"/>
      <c r="C15" s="18"/>
      <c r="D15" s="18"/>
      <c r="E15" s="18"/>
      <c r="F15" s="19"/>
    </row>
    <row r="16" spans="1:8" s="20" customFormat="1" x14ac:dyDescent="0.15">
      <c r="A16" s="160" t="s">
        <v>45</v>
      </c>
      <c r="B16" s="161"/>
      <c r="C16" s="161"/>
      <c r="D16" s="161"/>
      <c r="E16" s="161"/>
      <c r="F16" s="162"/>
      <c r="G16" s="17"/>
    </row>
    <row r="17" spans="1:8" s="20" customFormat="1" x14ac:dyDescent="0.15">
      <c r="A17" s="163" t="s">
        <v>7</v>
      </c>
      <c r="B17" s="164"/>
      <c r="C17" s="165"/>
      <c r="D17" s="165"/>
      <c r="E17" s="165"/>
      <c r="F17" s="166"/>
      <c r="G17" s="17"/>
    </row>
    <row r="18" spans="1:8" s="20" customFormat="1" x14ac:dyDescent="0.15">
      <c r="A18" s="163" t="s">
        <v>46</v>
      </c>
      <c r="B18" s="164"/>
      <c r="C18" s="165" t="s">
        <v>8</v>
      </c>
      <c r="D18" s="165"/>
      <c r="E18" s="165"/>
      <c r="F18" s="166"/>
      <c r="G18" s="21"/>
    </row>
    <row r="19" spans="1:8" x14ac:dyDescent="0.15">
      <c r="A19" s="22"/>
      <c r="B19" s="23"/>
      <c r="C19" s="23"/>
      <c r="D19" s="23"/>
      <c r="E19" s="23"/>
      <c r="F19" s="24"/>
      <c r="G19" s="25"/>
    </row>
    <row r="20" spans="1:8" ht="17" customHeight="1" x14ac:dyDescent="0.15">
      <c r="A20" s="26"/>
      <c r="B20" s="26"/>
      <c r="C20" s="26"/>
      <c r="D20" s="26"/>
      <c r="E20" s="26"/>
      <c r="F20" s="26"/>
    </row>
    <row r="21" spans="1:8" s="31" customFormat="1" ht="22" customHeight="1" x14ac:dyDescent="0.15">
      <c r="A21" s="27" t="s">
        <v>60</v>
      </c>
      <c r="B21" s="28" t="s">
        <v>28</v>
      </c>
      <c r="C21" s="29" t="s">
        <v>9</v>
      </c>
      <c r="D21" s="30" t="s">
        <v>10</v>
      </c>
      <c r="E21" s="28" t="s">
        <v>11</v>
      </c>
      <c r="F21" s="28" t="s">
        <v>12</v>
      </c>
    </row>
    <row r="22" spans="1:8" x14ac:dyDescent="0.15">
      <c r="A22" s="143" t="s">
        <v>29</v>
      </c>
      <c r="B22" s="144"/>
      <c r="C22" s="144"/>
      <c r="D22" s="144"/>
      <c r="E22" s="144"/>
      <c r="F22" s="145"/>
    </row>
    <row r="23" spans="1:8" ht="34" x14ac:dyDescent="0.2">
      <c r="A23" s="100" t="s">
        <v>38</v>
      </c>
      <c r="B23" s="102">
        <v>4</v>
      </c>
      <c r="C23" s="102">
        <v>4</v>
      </c>
      <c r="D23" s="37">
        <v>406.85</v>
      </c>
      <c r="E23" s="37">
        <f t="shared" ref="E23:E24" si="0">B23*C23*D23</f>
        <v>6509.6</v>
      </c>
      <c r="F23" s="101" t="s">
        <v>32</v>
      </c>
    </row>
    <row r="24" spans="1:8" ht="34" x14ac:dyDescent="0.2">
      <c r="A24" s="100" t="s">
        <v>31</v>
      </c>
      <c r="B24" s="102">
        <v>4</v>
      </c>
      <c r="C24" s="102">
        <v>93</v>
      </c>
      <c r="D24" s="37">
        <v>406.85</v>
      </c>
      <c r="E24" s="37">
        <f t="shared" si="0"/>
        <v>151348.20000000001</v>
      </c>
      <c r="F24" s="101" t="s">
        <v>32</v>
      </c>
    </row>
    <row r="25" spans="1:8" s="48" customFormat="1" ht="181" customHeight="1" x14ac:dyDescent="0.25">
      <c r="A25" s="34" t="s">
        <v>63</v>
      </c>
      <c r="B25" s="44">
        <v>1</v>
      </c>
      <c r="C25" s="45">
        <v>190</v>
      </c>
      <c r="D25" s="37">
        <v>195.70000000000002</v>
      </c>
      <c r="E25" s="46">
        <f>D25*C25*B25</f>
        <v>37183</v>
      </c>
      <c r="F25" s="118" t="s">
        <v>69</v>
      </c>
      <c r="G25" s="47"/>
      <c r="H25" s="47"/>
    </row>
    <row r="26" spans="1:8" s="48" customFormat="1" ht="21" x14ac:dyDescent="0.25">
      <c r="A26" s="34" t="s">
        <v>66</v>
      </c>
      <c r="B26" s="44">
        <v>1</v>
      </c>
      <c r="C26" s="45">
        <v>190</v>
      </c>
      <c r="D26" s="37">
        <v>25.75</v>
      </c>
      <c r="E26" s="46">
        <f>D26*C26*B26</f>
        <v>4892.5</v>
      </c>
      <c r="F26" s="118" t="s">
        <v>74</v>
      </c>
      <c r="G26" s="47"/>
      <c r="H26" s="47"/>
    </row>
    <row r="27" spans="1:8" ht="13.5" customHeight="1" x14ac:dyDescent="0.15">
      <c r="A27" s="146" t="s">
        <v>30</v>
      </c>
      <c r="B27" s="148"/>
      <c r="C27" s="150"/>
      <c r="D27" s="152"/>
      <c r="E27" s="154">
        <f>E26+E25+E24+E23</f>
        <v>199933.30000000002</v>
      </c>
      <c r="F27" s="156"/>
    </row>
    <row r="28" spans="1:8" ht="13.5" customHeight="1" x14ac:dyDescent="0.15">
      <c r="A28" s="147"/>
      <c r="B28" s="149"/>
      <c r="C28" s="151"/>
      <c r="D28" s="153"/>
      <c r="E28" s="155"/>
      <c r="F28" s="157"/>
    </row>
    <row r="29" spans="1:8" x14ac:dyDescent="0.15">
      <c r="A29" s="26"/>
      <c r="B29" s="26"/>
      <c r="C29" s="26"/>
      <c r="D29" s="26"/>
      <c r="E29" s="26"/>
      <c r="F29" s="26"/>
    </row>
    <row r="30" spans="1:8" x14ac:dyDescent="0.15">
      <c r="A30" s="26"/>
      <c r="B30" s="26"/>
      <c r="C30" s="26"/>
      <c r="D30" s="26"/>
      <c r="E30" s="26"/>
      <c r="F30" s="26"/>
    </row>
    <row r="31" spans="1:8" s="31" customFormat="1" ht="19" x14ac:dyDescent="0.15">
      <c r="A31" s="27" t="s">
        <v>73</v>
      </c>
      <c r="B31" s="28" t="s">
        <v>28</v>
      </c>
      <c r="C31" s="29" t="s">
        <v>9</v>
      </c>
      <c r="D31" s="30" t="s">
        <v>10</v>
      </c>
      <c r="E31" s="28" t="s">
        <v>11</v>
      </c>
      <c r="F31" s="28" t="s">
        <v>12</v>
      </c>
    </row>
    <row r="32" spans="1:8" x14ac:dyDescent="0.15">
      <c r="A32" s="143" t="s">
        <v>29</v>
      </c>
      <c r="B32" s="144"/>
      <c r="C32" s="144"/>
      <c r="D32" s="144"/>
      <c r="E32" s="144"/>
      <c r="F32" s="145"/>
    </row>
    <row r="33" spans="1:8" ht="34" x14ac:dyDescent="0.2">
      <c r="A33" s="100" t="s">
        <v>38</v>
      </c>
      <c r="B33" s="102">
        <v>4</v>
      </c>
      <c r="C33" s="102">
        <v>4</v>
      </c>
      <c r="D33" s="37">
        <v>396.55</v>
      </c>
      <c r="E33" s="37">
        <f t="shared" ref="E33:E34" si="1">B33*C33*D33</f>
        <v>6344.8</v>
      </c>
      <c r="F33" s="101" t="s">
        <v>32</v>
      </c>
    </row>
    <row r="34" spans="1:8" ht="34" x14ac:dyDescent="0.2">
      <c r="A34" s="100" t="s">
        <v>31</v>
      </c>
      <c r="B34" s="102">
        <v>4</v>
      </c>
      <c r="C34" s="102">
        <v>93</v>
      </c>
      <c r="D34" s="37">
        <v>417.15000000000003</v>
      </c>
      <c r="E34" s="37">
        <f t="shared" si="1"/>
        <v>155179.80000000002</v>
      </c>
      <c r="F34" s="101" t="s">
        <v>32</v>
      </c>
    </row>
    <row r="35" spans="1:8" s="48" customFormat="1" ht="191" customHeight="1" x14ac:dyDescent="0.25">
      <c r="A35" s="34" t="s">
        <v>63</v>
      </c>
      <c r="B35" s="44">
        <v>1</v>
      </c>
      <c r="C35" s="45">
        <v>190</v>
      </c>
      <c r="D35" s="37">
        <v>206</v>
      </c>
      <c r="E35" s="46">
        <f>D35*C35*B35</f>
        <v>39140</v>
      </c>
      <c r="F35" s="118" t="s">
        <v>69</v>
      </c>
      <c r="G35" s="47"/>
      <c r="H35" s="47"/>
    </row>
    <row r="36" spans="1:8" s="48" customFormat="1" ht="21" x14ac:dyDescent="0.25">
      <c r="A36" s="34" t="s">
        <v>66</v>
      </c>
      <c r="B36" s="44">
        <v>1</v>
      </c>
      <c r="C36" s="45">
        <v>190</v>
      </c>
      <c r="D36" s="37">
        <v>97.850000000000009</v>
      </c>
      <c r="E36" s="46">
        <f>D36*C36*B36</f>
        <v>18591.5</v>
      </c>
      <c r="F36" s="118" t="s">
        <v>74</v>
      </c>
      <c r="G36" s="47"/>
      <c r="H36" s="47"/>
    </row>
    <row r="37" spans="1:8" ht="13" customHeight="1" x14ac:dyDescent="0.15">
      <c r="A37" s="146" t="s">
        <v>30</v>
      </c>
      <c r="B37" s="148"/>
      <c r="C37" s="150"/>
      <c r="D37" s="152"/>
      <c r="E37" s="154">
        <f>E33+E34+E35+E36</f>
        <v>219256.1</v>
      </c>
      <c r="F37" s="156"/>
    </row>
    <row r="38" spans="1:8" ht="13.5" customHeight="1" x14ac:dyDescent="0.15">
      <c r="A38" s="147"/>
      <c r="B38" s="149"/>
      <c r="C38" s="151"/>
      <c r="D38" s="153"/>
      <c r="E38" s="155"/>
      <c r="F38" s="157"/>
    </row>
    <row r="39" spans="1:8" x14ac:dyDescent="0.15">
      <c r="A39" s="26"/>
      <c r="B39" s="26"/>
      <c r="C39" s="26"/>
      <c r="D39" s="26"/>
      <c r="E39" s="26"/>
      <c r="F39" s="26"/>
    </row>
    <row r="40" spans="1:8" x14ac:dyDescent="0.15">
      <c r="A40" s="26"/>
      <c r="B40" s="26"/>
      <c r="C40" s="26"/>
      <c r="D40" s="26"/>
      <c r="E40" s="26"/>
      <c r="F40" s="26"/>
    </row>
    <row r="41" spans="1:8" x14ac:dyDescent="0.15">
      <c r="A41" s="26"/>
      <c r="B41" s="26"/>
      <c r="C41" s="26"/>
      <c r="D41" s="26"/>
      <c r="E41" s="26"/>
      <c r="F41" s="26"/>
    </row>
    <row r="42" spans="1:8" x14ac:dyDescent="0.15">
      <c r="A42" s="26"/>
      <c r="B42" s="26"/>
      <c r="C42" s="26"/>
      <c r="D42" s="26"/>
      <c r="E42" s="26"/>
      <c r="F42" s="26"/>
    </row>
    <row r="43" spans="1:8" ht="13.5" customHeight="1" thickBot="1" x14ac:dyDescent="0.2">
      <c r="A43" s="111"/>
      <c r="B43" s="112"/>
      <c r="C43" s="113"/>
      <c r="D43" s="114"/>
      <c r="E43" s="115"/>
      <c r="F43" s="116"/>
    </row>
    <row r="44" spans="1:8" ht="15" customHeight="1" thickBot="1" x14ac:dyDescent="0.2">
      <c r="A44" s="133" t="s">
        <v>50</v>
      </c>
      <c r="B44" s="134"/>
      <c r="C44" s="134"/>
      <c r="D44" s="134"/>
      <c r="E44" s="134"/>
      <c r="F44" s="135"/>
    </row>
    <row r="45" spans="1:8" ht="15" x14ac:dyDescent="0.15">
      <c r="A45" s="96" t="s">
        <v>23</v>
      </c>
      <c r="B45" s="97" t="s">
        <v>14</v>
      </c>
      <c r="C45" s="98" t="s">
        <v>9</v>
      </c>
      <c r="D45" s="99" t="s">
        <v>10</v>
      </c>
      <c r="E45" s="97" t="s">
        <v>11</v>
      </c>
      <c r="F45" s="97" t="s">
        <v>12</v>
      </c>
      <c r="G45" s="32"/>
      <c r="H45" s="32"/>
    </row>
    <row r="46" spans="1:8" x14ac:dyDescent="0.15">
      <c r="A46" s="136" t="s">
        <v>15</v>
      </c>
      <c r="B46" s="137"/>
      <c r="C46" s="137"/>
      <c r="D46" s="137"/>
      <c r="E46" s="137"/>
      <c r="F46" s="137"/>
      <c r="G46" s="32"/>
      <c r="H46" s="32"/>
    </row>
    <row r="47" spans="1:8" ht="13.5" customHeight="1" x14ac:dyDescent="0.15">
      <c r="A47" s="138" t="s">
        <v>36</v>
      </c>
      <c r="B47" s="139"/>
      <c r="C47" s="139"/>
      <c r="D47" s="139"/>
      <c r="E47" s="139"/>
      <c r="F47" s="140"/>
      <c r="G47" s="32"/>
      <c r="H47" s="32"/>
    </row>
    <row r="48" spans="1:8" s="40" customFormat="1" ht="47.5" customHeight="1" x14ac:dyDescent="0.2">
      <c r="A48" s="34" t="s">
        <v>41</v>
      </c>
      <c r="B48" s="35">
        <v>1</v>
      </c>
      <c r="C48" s="36">
        <v>5</v>
      </c>
      <c r="D48" s="37">
        <v>749</v>
      </c>
      <c r="E48" s="37">
        <f t="shared" ref="E48" si="2">B48*C48*D48</f>
        <v>3745</v>
      </c>
      <c r="F48" s="38" t="s">
        <v>56</v>
      </c>
      <c r="G48" s="39"/>
      <c r="H48" s="39"/>
    </row>
    <row r="49" spans="1:8" s="40" customFormat="1" ht="105" x14ac:dyDescent="0.25">
      <c r="A49" s="34" t="s">
        <v>48</v>
      </c>
      <c r="B49" s="41">
        <v>1</v>
      </c>
      <c r="C49" s="42">
        <v>190</v>
      </c>
      <c r="D49" s="37">
        <v>49.220000000000006</v>
      </c>
      <c r="E49" s="43">
        <f>D49*C49*B49</f>
        <v>9351.8000000000011</v>
      </c>
      <c r="F49" s="119" t="s">
        <v>61</v>
      </c>
      <c r="G49" s="39"/>
      <c r="H49" s="39"/>
    </row>
    <row r="50" spans="1:8" s="54" customFormat="1" ht="126" x14ac:dyDescent="0.25">
      <c r="A50" s="34" t="s">
        <v>47</v>
      </c>
      <c r="B50" s="53">
        <v>1</v>
      </c>
      <c r="C50" s="53">
        <v>190</v>
      </c>
      <c r="D50" s="37">
        <v>85.600000000000009</v>
      </c>
      <c r="E50" s="43">
        <f t="shared" ref="E50" si="3">B50*C50*D50</f>
        <v>16264.000000000002</v>
      </c>
      <c r="F50" s="118" t="s">
        <v>68</v>
      </c>
      <c r="G50" s="52"/>
      <c r="H50" s="52"/>
    </row>
    <row r="51" spans="1:8" x14ac:dyDescent="0.15">
      <c r="A51" s="33" t="s">
        <v>37</v>
      </c>
      <c r="B51" s="49"/>
      <c r="C51" s="49"/>
      <c r="D51" s="49"/>
      <c r="E51" s="49"/>
      <c r="F51" s="50"/>
      <c r="G51" s="32"/>
      <c r="H51" s="32"/>
    </row>
    <row r="52" spans="1:8" s="54" customFormat="1" ht="34" x14ac:dyDescent="0.2">
      <c r="A52" s="117" t="s">
        <v>52</v>
      </c>
      <c r="B52" s="35">
        <v>1</v>
      </c>
      <c r="C52" s="36">
        <v>190</v>
      </c>
      <c r="D52" s="37">
        <v>48.150000000000006</v>
      </c>
      <c r="E52" s="43">
        <f t="shared" ref="E52:E53" si="4">B52*C52*D52</f>
        <v>9148.5000000000018</v>
      </c>
      <c r="F52" s="38" t="s">
        <v>55</v>
      </c>
      <c r="G52" s="52"/>
      <c r="H52" s="52"/>
    </row>
    <row r="53" spans="1:8" s="40" customFormat="1" ht="21" x14ac:dyDescent="0.25">
      <c r="A53" s="34" t="s">
        <v>53</v>
      </c>
      <c r="B53" s="53">
        <v>1</v>
      </c>
      <c r="C53" s="53">
        <v>190</v>
      </c>
      <c r="D53" s="37">
        <v>26.75</v>
      </c>
      <c r="E53" s="43">
        <f t="shared" si="4"/>
        <v>5082.5</v>
      </c>
      <c r="F53" s="118" t="s">
        <v>54</v>
      </c>
      <c r="G53" s="52"/>
      <c r="H53" s="52"/>
    </row>
    <row r="54" spans="1:8" x14ac:dyDescent="0.15">
      <c r="A54" s="33" t="s">
        <v>39</v>
      </c>
      <c r="B54" s="49"/>
      <c r="C54" s="49"/>
      <c r="D54" s="49"/>
      <c r="E54" s="49"/>
      <c r="F54" s="50"/>
      <c r="G54" s="32"/>
      <c r="H54" s="32"/>
    </row>
    <row r="55" spans="1:8" s="40" customFormat="1" ht="51" x14ac:dyDescent="0.2">
      <c r="A55" s="34" t="s">
        <v>62</v>
      </c>
      <c r="B55" s="35">
        <v>1</v>
      </c>
      <c r="C55" s="36">
        <v>190</v>
      </c>
      <c r="D55" s="37">
        <v>149.80000000000001</v>
      </c>
      <c r="E55" s="43">
        <f t="shared" ref="E55:E58" si="5">B55*C55*D55</f>
        <v>28462.000000000004</v>
      </c>
      <c r="F55" s="51" t="s">
        <v>67</v>
      </c>
      <c r="G55" s="52"/>
      <c r="H55" s="52"/>
    </row>
    <row r="56" spans="1:8" s="40" customFormat="1" ht="24" customHeight="1" x14ac:dyDescent="0.2">
      <c r="A56" s="34" t="s">
        <v>33</v>
      </c>
      <c r="B56" s="41">
        <v>1</v>
      </c>
      <c r="C56" s="42">
        <v>190</v>
      </c>
      <c r="D56" s="37">
        <v>26.75</v>
      </c>
      <c r="E56" s="43">
        <f t="shared" si="5"/>
        <v>5082.5</v>
      </c>
      <c r="F56" s="38" t="s">
        <v>42</v>
      </c>
      <c r="G56" s="52"/>
      <c r="H56" s="52"/>
    </row>
    <row r="57" spans="1:8" s="40" customFormat="1" ht="105" x14ac:dyDescent="0.25">
      <c r="A57" s="34" t="s">
        <v>49</v>
      </c>
      <c r="B57" s="53">
        <v>1</v>
      </c>
      <c r="C57" s="53">
        <v>190</v>
      </c>
      <c r="D57" s="37">
        <v>49.220000000000006</v>
      </c>
      <c r="E57" s="43">
        <f t="shared" si="5"/>
        <v>9351.8000000000011</v>
      </c>
      <c r="F57" s="119" t="s">
        <v>70</v>
      </c>
      <c r="G57" s="39"/>
      <c r="H57" s="39"/>
    </row>
    <row r="58" spans="1:8" s="54" customFormat="1" ht="126" x14ac:dyDescent="0.25">
      <c r="A58" s="34" t="s">
        <v>72</v>
      </c>
      <c r="B58" s="53">
        <v>1</v>
      </c>
      <c r="C58" s="53">
        <v>190</v>
      </c>
      <c r="D58" s="37">
        <v>171.20000000000002</v>
      </c>
      <c r="E58" s="43">
        <f t="shared" si="5"/>
        <v>32528.000000000004</v>
      </c>
      <c r="F58" s="119" t="s">
        <v>71</v>
      </c>
      <c r="G58" s="52"/>
      <c r="H58" s="52"/>
    </row>
    <row r="59" spans="1:8" x14ac:dyDescent="0.15">
      <c r="A59" s="33" t="s">
        <v>40</v>
      </c>
      <c r="B59" s="49"/>
      <c r="C59" s="49"/>
      <c r="D59" s="49"/>
      <c r="E59" s="49"/>
      <c r="F59" s="50"/>
      <c r="G59" s="32"/>
      <c r="H59" s="32"/>
    </row>
    <row r="60" spans="1:8" s="40" customFormat="1" ht="105" x14ac:dyDescent="0.25">
      <c r="A60" s="34" t="s">
        <v>48</v>
      </c>
      <c r="B60" s="41">
        <v>1</v>
      </c>
      <c r="C60" s="42">
        <v>190</v>
      </c>
      <c r="D60" s="37">
        <v>49.220000000000006</v>
      </c>
      <c r="E60" s="43">
        <f>D60*C60*B60</f>
        <v>9351.8000000000011</v>
      </c>
      <c r="F60" s="119" t="s">
        <v>70</v>
      </c>
      <c r="G60" s="39"/>
      <c r="H60" s="39"/>
    </row>
    <row r="61" spans="1:8" s="40" customFormat="1" ht="20" x14ac:dyDescent="0.25">
      <c r="A61" s="34" t="s">
        <v>65</v>
      </c>
      <c r="B61" s="41">
        <v>0</v>
      </c>
      <c r="C61" s="42">
        <v>0</v>
      </c>
      <c r="D61" s="37">
        <v>0</v>
      </c>
      <c r="E61" s="43">
        <v>0</v>
      </c>
      <c r="F61" s="118"/>
      <c r="G61" s="39"/>
      <c r="H61" s="39"/>
    </row>
    <row r="62" spans="1:8" s="31" customFormat="1" ht="17" x14ac:dyDescent="0.15">
      <c r="A62" s="34" t="s">
        <v>51</v>
      </c>
      <c r="B62" s="41">
        <v>1</v>
      </c>
      <c r="C62" s="42">
        <v>5</v>
      </c>
      <c r="D62" s="37">
        <v>749</v>
      </c>
      <c r="E62" s="43">
        <f t="shared" ref="E62" si="6">B62*C62*D62</f>
        <v>3745</v>
      </c>
      <c r="F62" s="38" t="s">
        <v>56</v>
      </c>
      <c r="G62" s="55"/>
      <c r="H62" s="55"/>
    </row>
    <row r="63" spans="1:8" ht="13.5" customHeight="1" x14ac:dyDescent="0.15">
      <c r="A63" s="124" t="s">
        <v>16</v>
      </c>
      <c r="B63" s="56"/>
      <c r="C63" s="56"/>
      <c r="D63" s="56"/>
      <c r="E63" s="141">
        <f>SUM(E48:E62)</f>
        <v>132112.90000000002</v>
      </c>
      <c r="F63" s="57"/>
    </row>
    <row r="64" spans="1:8" x14ac:dyDescent="0.15">
      <c r="A64" s="125"/>
      <c r="B64" s="58"/>
      <c r="C64" s="58"/>
      <c r="D64" s="58"/>
      <c r="E64" s="142"/>
      <c r="F64" s="59"/>
    </row>
    <row r="65" spans="1:8" s="31" customFormat="1" x14ac:dyDescent="0.15">
      <c r="A65" s="60"/>
      <c r="B65" s="61"/>
      <c r="C65" s="62"/>
      <c r="D65" s="63"/>
      <c r="E65" s="64"/>
      <c r="F65" s="65"/>
      <c r="G65" s="1"/>
      <c r="H65" s="1"/>
    </row>
    <row r="66" spans="1:8" ht="30" x14ac:dyDescent="0.15">
      <c r="A66" s="66" t="s">
        <v>17</v>
      </c>
      <c r="B66" s="67"/>
      <c r="C66" s="68"/>
      <c r="D66" s="69" t="s">
        <v>18</v>
      </c>
      <c r="E66" s="70" t="s">
        <v>19</v>
      </c>
      <c r="F66" s="71"/>
    </row>
    <row r="67" spans="1:8" x14ac:dyDescent="0.15">
      <c r="A67" s="121" t="s">
        <v>75</v>
      </c>
      <c r="B67" s="72"/>
      <c r="C67" s="73"/>
      <c r="D67" s="74"/>
      <c r="E67" s="123">
        <f>E27</f>
        <v>199933.30000000002</v>
      </c>
      <c r="F67" s="75"/>
    </row>
    <row r="68" spans="1:8" x14ac:dyDescent="0.15">
      <c r="A68" s="122"/>
      <c r="B68" s="76"/>
      <c r="C68" s="77"/>
      <c r="D68" s="78"/>
      <c r="E68" s="123"/>
      <c r="F68" s="79"/>
    </row>
    <row r="69" spans="1:8" ht="13.5" customHeight="1" x14ac:dyDescent="0.15">
      <c r="A69" s="121" t="s">
        <v>13</v>
      </c>
      <c r="B69" s="80"/>
      <c r="C69" s="81"/>
      <c r="D69" s="82"/>
      <c r="E69" s="123">
        <f>E63</f>
        <v>132112.90000000002</v>
      </c>
      <c r="F69" s="83"/>
    </row>
    <row r="70" spans="1:8" ht="13.5" customHeight="1" x14ac:dyDescent="0.15">
      <c r="A70" s="122"/>
      <c r="B70" s="76"/>
      <c r="C70" s="77"/>
      <c r="D70" s="78"/>
      <c r="E70" s="123"/>
      <c r="F70" s="79"/>
    </row>
    <row r="71" spans="1:8" x14ac:dyDescent="0.15">
      <c r="A71" s="124" t="s">
        <v>20</v>
      </c>
      <c r="B71" s="84"/>
      <c r="C71" s="85"/>
      <c r="D71" s="86"/>
      <c r="E71" s="126">
        <f>SUM(E67:E70)</f>
        <v>332046.20000000007</v>
      </c>
      <c r="F71" s="87"/>
    </row>
    <row r="72" spans="1:8" x14ac:dyDescent="0.15">
      <c r="A72" s="125"/>
      <c r="B72" s="88"/>
      <c r="C72" s="89"/>
      <c r="D72" s="90"/>
      <c r="E72" s="126"/>
      <c r="F72" s="91"/>
    </row>
    <row r="73" spans="1:8" s="32" customFormat="1" x14ac:dyDescent="0.15">
      <c r="A73" s="127" t="s">
        <v>21</v>
      </c>
      <c r="B73" s="129" t="s">
        <v>22</v>
      </c>
      <c r="C73" s="129"/>
      <c r="D73" s="129">
        <v>190</v>
      </c>
      <c r="E73" s="131">
        <f>E71/D73</f>
        <v>1747.6115789473688</v>
      </c>
      <c r="F73" s="92"/>
      <c r="G73" s="1"/>
      <c r="H73" s="1"/>
    </row>
    <row r="74" spans="1:8" s="32" customFormat="1" x14ac:dyDescent="0.15">
      <c r="A74" s="128"/>
      <c r="B74" s="130"/>
      <c r="C74" s="130"/>
      <c r="D74" s="130"/>
      <c r="E74" s="132"/>
      <c r="F74" s="93"/>
      <c r="G74" s="1"/>
      <c r="H74" s="1"/>
    </row>
    <row r="75" spans="1:8" s="32" customFormat="1" x14ac:dyDescent="0.15">
      <c r="A75" s="120" t="s">
        <v>26</v>
      </c>
      <c r="B75" s="120"/>
      <c r="C75" s="120"/>
      <c r="D75" s="120"/>
      <c r="E75" s="120"/>
      <c r="F75" s="120"/>
      <c r="G75" s="31"/>
      <c r="H75" s="31"/>
    </row>
    <row r="76" spans="1:8" s="32" customFormat="1" x14ac:dyDescent="0.15">
      <c r="A76" s="94" t="s">
        <v>24</v>
      </c>
      <c r="B76" s="3"/>
      <c r="C76" s="95"/>
      <c r="D76" s="2"/>
      <c r="E76" s="2"/>
      <c r="F76" s="2"/>
      <c r="G76" s="31"/>
      <c r="H76" s="31"/>
    </row>
    <row r="77" spans="1:8" s="55" customFormat="1" x14ac:dyDescent="0.15">
      <c r="A77" s="94" t="s">
        <v>25</v>
      </c>
      <c r="B77" s="3"/>
      <c r="C77" s="95"/>
      <c r="D77" s="2"/>
      <c r="E77" s="2"/>
      <c r="F77" s="2"/>
      <c r="G77" s="31"/>
      <c r="H77" s="31"/>
    </row>
    <row r="78" spans="1:8" s="55" customFormat="1" x14ac:dyDescent="0.15">
      <c r="A78" s="94" t="s">
        <v>27</v>
      </c>
      <c r="B78" s="3"/>
      <c r="C78" s="95"/>
      <c r="D78" s="2"/>
      <c r="E78" s="2"/>
      <c r="F78" s="2"/>
      <c r="G78" s="31"/>
      <c r="H78" s="31"/>
    </row>
    <row r="79" spans="1:8" s="32" customFormat="1" ht="13.5" customHeight="1" x14ac:dyDescent="0.15">
      <c r="A79" s="2"/>
      <c r="B79" s="3"/>
      <c r="C79" s="95"/>
      <c r="D79" s="2"/>
      <c r="E79" s="2"/>
      <c r="F79" s="2"/>
      <c r="G79" s="1"/>
      <c r="H79" s="1"/>
    </row>
    <row r="80" spans="1:8" s="55" customFormat="1" x14ac:dyDescent="0.15">
      <c r="A80" s="2"/>
      <c r="B80" s="3"/>
      <c r="C80" s="95"/>
      <c r="D80" s="2"/>
      <c r="E80" s="2"/>
      <c r="F80" s="2"/>
      <c r="G80" s="1"/>
      <c r="H80" s="1"/>
    </row>
    <row r="81" spans="1:8" s="55" customFormat="1" x14ac:dyDescent="0.15">
      <c r="A81" s="2"/>
      <c r="B81" s="3"/>
      <c r="C81" s="95"/>
      <c r="D81" s="2"/>
      <c r="E81" s="2"/>
      <c r="F81" s="2"/>
      <c r="G81" s="1"/>
      <c r="H81" s="1"/>
    </row>
    <row r="82" spans="1:8" s="55" customFormat="1" x14ac:dyDescent="0.15">
      <c r="A82" s="2"/>
      <c r="B82" s="3"/>
      <c r="C82" s="95"/>
      <c r="D82" s="2"/>
      <c r="E82" s="2"/>
      <c r="F82" s="2"/>
      <c r="G82" s="1"/>
      <c r="H82" s="1"/>
    </row>
    <row r="83" spans="1:8" s="55" customFormat="1" x14ac:dyDescent="0.15">
      <c r="A83" s="2"/>
      <c r="B83" s="3"/>
      <c r="C83" s="95"/>
      <c r="D83" s="2"/>
      <c r="E83" s="2"/>
      <c r="F83" s="2"/>
      <c r="G83" s="1"/>
      <c r="H83" s="1"/>
    </row>
    <row r="84" spans="1:8" s="32" customFormat="1" ht="13.5" customHeight="1" x14ac:dyDescent="0.15">
      <c r="A84" s="2"/>
      <c r="B84" s="3"/>
      <c r="C84" s="95"/>
      <c r="D84" s="2"/>
      <c r="E84" s="2"/>
      <c r="F84" s="2"/>
      <c r="G84" s="1"/>
      <c r="H84" s="1"/>
    </row>
    <row r="85" spans="1:8" s="55" customFormat="1" x14ac:dyDescent="0.15">
      <c r="A85" s="2"/>
      <c r="B85" s="3"/>
      <c r="C85" s="95"/>
      <c r="D85" s="2"/>
      <c r="E85" s="2"/>
      <c r="F85" s="2"/>
      <c r="G85" s="1"/>
      <c r="H85" s="1"/>
    </row>
    <row r="86" spans="1:8" s="55" customFormat="1" x14ac:dyDescent="0.15">
      <c r="A86" s="2"/>
      <c r="B86" s="3"/>
      <c r="C86" s="95"/>
      <c r="D86" s="2"/>
      <c r="E86" s="2"/>
      <c r="F86" s="2"/>
      <c r="G86" s="1"/>
      <c r="H86" s="1"/>
    </row>
    <row r="87" spans="1:8" s="55" customFormat="1" x14ac:dyDescent="0.15">
      <c r="A87" s="2"/>
      <c r="B87" s="3"/>
      <c r="C87" s="95"/>
      <c r="D87" s="2"/>
      <c r="E87" s="2"/>
      <c r="F87" s="2"/>
      <c r="G87" s="1"/>
      <c r="H87" s="1"/>
    </row>
    <row r="88" spans="1:8" s="55" customFormat="1" x14ac:dyDescent="0.15">
      <c r="A88" s="2"/>
      <c r="B88" s="3"/>
      <c r="C88" s="95"/>
      <c r="D88" s="2"/>
      <c r="E88" s="2"/>
      <c r="F88" s="2"/>
      <c r="G88" s="1"/>
      <c r="H88" s="1"/>
    </row>
    <row r="89" spans="1:8" s="55" customFormat="1" x14ac:dyDescent="0.15">
      <c r="A89" s="2"/>
      <c r="B89" s="3"/>
      <c r="C89" s="95"/>
      <c r="D89" s="2"/>
      <c r="E89" s="2"/>
      <c r="F89" s="2"/>
      <c r="G89" s="1"/>
      <c r="H89" s="1"/>
    </row>
    <row r="90" spans="1:8" s="55" customFormat="1" x14ac:dyDescent="0.15">
      <c r="A90" s="2"/>
      <c r="B90" s="3"/>
      <c r="C90" s="95"/>
      <c r="D90" s="2"/>
      <c r="E90" s="2"/>
      <c r="F90" s="2"/>
      <c r="G90" s="1"/>
      <c r="H90" s="1"/>
    </row>
    <row r="91" spans="1:8" s="32" customFormat="1" ht="13.5" customHeight="1" x14ac:dyDescent="0.15">
      <c r="A91" s="2"/>
      <c r="B91" s="3"/>
      <c r="C91" s="95"/>
      <c r="D91" s="2"/>
      <c r="E91" s="2"/>
      <c r="F91" s="2"/>
      <c r="G91" s="1"/>
      <c r="H91" s="1"/>
    </row>
    <row r="92" spans="1:8" s="55" customFormat="1" x14ac:dyDescent="0.15">
      <c r="A92" s="2"/>
      <c r="B92" s="3"/>
      <c r="C92" s="95"/>
      <c r="D92" s="2"/>
      <c r="E92" s="2"/>
      <c r="F92" s="2"/>
      <c r="G92" s="1"/>
      <c r="H92" s="1"/>
    </row>
    <row r="93" spans="1:8" s="55" customFormat="1" x14ac:dyDescent="0.15">
      <c r="A93" s="2"/>
      <c r="B93" s="3"/>
      <c r="C93" s="95"/>
      <c r="D93" s="2"/>
      <c r="E93" s="2"/>
      <c r="F93" s="2"/>
      <c r="G93" s="1"/>
      <c r="H93" s="1"/>
    </row>
    <row r="94" spans="1:8" s="55" customFormat="1" x14ac:dyDescent="0.15">
      <c r="A94" s="2"/>
      <c r="B94" s="3"/>
      <c r="C94" s="95"/>
      <c r="D94" s="2"/>
      <c r="E94" s="2"/>
      <c r="F94" s="2"/>
      <c r="G94" s="1"/>
      <c r="H94" s="1"/>
    </row>
    <row r="95" spans="1:8" s="55" customFormat="1" x14ac:dyDescent="0.15">
      <c r="A95" s="2"/>
      <c r="B95" s="3"/>
      <c r="C95" s="95"/>
      <c r="D95" s="2"/>
      <c r="E95" s="2"/>
      <c r="F95" s="2"/>
      <c r="G95" s="1"/>
      <c r="H95" s="1"/>
    </row>
    <row r="96" spans="1:8" s="32" customFormat="1" ht="13.5" customHeight="1" x14ac:dyDescent="0.15">
      <c r="A96" s="2"/>
      <c r="B96" s="3"/>
      <c r="C96" s="95"/>
      <c r="D96" s="2"/>
      <c r="E96" s="2"/>
      <c r="F96" s="2"/>
      <c r="G96" s="1"/>
      <c r="H96" s="1"/>
    </row>
    <row r="97" spans="1:8" s="55" customFormat="1" x14ac:dyDescent="0.15">
      <c r="A97" s="2"/>
      <c r="B97" s="3"/>
      <c r="C97" s="95"/>
      <c r="D97" s="2"/>
      <c r="E97" s="2"/>
      <c r="F97" s="2"/>
      <c r="G97" s="1"/>
      <c r="H97" s="1"/>
    </row>
    <row r="98" spans="1:8" s="55" customFormat="1" x14ac:dyDescent="0.15">
      <c r="A98" s="2"/>
      <c r="B98" s="3"/>
      <c r="C98" s="95"/>
      <c r="D98" s="2"/>
      <c r="E98" s="2"/>
      <c r="F98" s="2"/>
      <c r="G98" s="1"/>
      <c r="H98" s="1"/>
    </row>
    <row r="99" spans="1:8" s="55" customFormat="1" x14ac:dyDescent="0.15">
      <c r="A99" s="2"/>
      <c r="B99" s="3"/>
      <c r="C99" s="95"/>
      <c r="D99" s="2"/>
      <c r="E99" s="2"/>
      <c r="F99" s="2"/>
      <c r="G99" s="1"/>
      <c r="H99" s="1"/>
    </row>
    <row r="100" spans="1:8" s="32" customFormat="1" ht="13.5" customHeight="1" x14ac:dyDescent="0.15">
      <c r="A100" s="2"/>
      <c r="B100" s="3"/>
      <c r="C100" s="95"/>
      <c r="D100" s="2"/>
      <c r="E100" s="2"/>
      <c r="F100" s="2"/>
      <c r="G100" s="1"/>
      <c r="H100" s="1"/>
    </row>
    <row r="101" spans="1:8" s="55" customFormat="1" x14ac:dyDescent="0.15">
      <c r="A101" s="2"/>
      <c r="B101" s="3"/>
      <c r="C101" s="95"/>
      <c r="D101" s="2"/>
      <c r="E101" s="2"/>
      <c r="F101" s="2"/>
      <c r="G101" s="1"/>
      <c r="H101" s="1"/>
    </row>
    <row r="102" spans="1:8" s="32" customFormat="1" ht="13.5" customHeight="1" x14ac:dyDescent="0.15">
      <c r="A102" s="2"/>
      <c r="B102" s="3"/>
      <c r="C102" s="95"/>
      <c r="D102" s="2"/>
      <c r="E102" s="2"/>
      <c r="F102" s="2"/>
      <c r="G102" s="1"/>
      <c r="H102" s="1"/>
    </row>
    <row r="103" spans="1:8" s="55" customFormat="1" x14ac:dyDescent="0.15">
      <c r="A103" s="2"/>
      <c r="B103" s="3"/>
      <c r="C103" s="95"/>
      <c r="D103" s="2"/>
      <c r="E103" s="2"/>
      <c r="F103" s="2"/>
      <c r="G103" s="1"/>
      <c r="H103" s="1"/>
    </row>
    <row r="104" spans="1:8" s="55" customFormat="1" x14ac:dyDescent="0.15">
      <c r="A104" s="2"/>
      <c r="B104" s="3"/>
      <c r="C104" s="95"/>
      <c r="D104" s="2"/>
      <c r="E104" s="2"/>
      <c r="F104" s="2"/>
      <c r="G104" s="1"/>
      <c r="H104" s="1"/>
    </row>
    <row r="105" spans="1:8" s="32" customFormat="1" ht="13.5" customHeight="1" x14ac:dyDescent="0.15">
      <c r="A105" s="2"/>
      <c r="B105" s="3"/>
      <c r="C105" s="95"/>
      <c r="D105" s="2"/>
      <c r="E105" s="2"/>
      <c r="F105" s="2"/>
      <c r="G105" s="1"/>
      <c r="H105" s="1"/>
    </row>
    <row r="106" spans="1:8" s="55" customFormat="1" x14ac:dyDescent="0.15">
      <c r="A106" s="2"/>
      <c r="B106" s="3"/>
      <c r="C106" s="95"/>
      <c r="D106" s="2"/>
      <c r="E106" s="2"/>
      <c r="F106" s="2"/>
      <c r="G106" s="1"/>
      <c r="H106" s="1"/>
    </row>
    <row r="107" spans="1:8" s="55" customFormat="1" x14ac:dyDescent="0.15">
      <c r="A107" s="2"/>
      <c r="B107" s="3"/>
      <c r="C107" s="95"/>
      <c r="D107" s="2"/>
      <c r="E107" s="2"/>
      <c r="F107" s="2"/>
      <c r="G107" s="1"/>
      <c r="H107" s="1"/>
    </row>
    <row r="108" spans="1:8" s="32" customFormat="1" ht="13.5" customHeight="1" x14ac:dyDescent="0.15">
      <c r="A108" s="2"/>
      <c r="B108" s="3"/>
      <c r="C108" s="95"/>
      <c r="D108" s="2"/>
      <c r="E108" s="2"/>
      <c r="F108" s="2"/>
      <c r="G108" s="1"/>
      <c r="H108" s="1"/>
    </row>
    <row r="109" spans="1:8" s="55" customFormat="1" x14ac:dyDescent="0.15">
      <c r="A109" s="2"/>
      <c r="B109" s="3"/>
      <c r="C109" s="95"/>
      <c r="D109" s="2"/>
      <c r="E109" s="2"/>
      <c r="F109" s="2"/>
      <c r="G109" s="1"/>
      <c r="H109" s="1"/>
    </row>
    <row r="110" spans="1:8" s="55" customFormat="1" x14ac:dyDescent="0.15">
      <c r="A110" s="2"/>
      <c r="B110" s="3"/>
      <c r="C110" s="95"/>
      <c r="D110" s="2"/>
      <c r="E110" s="2"/>
      <c r="F110" s="2"/>
      <c r="G110" s="1"/>
      <c r="H110" s="1"/>
    </row>
    <row r="111" spans="1:8" ht="14.5" customHeight="1" x14ac:dyDescent="0.15"/>
    <row r="118" spans="1:8" ht="16.5" customHeight="1" x14ac:dyDescent="0.15"/>
    <row r="121" spans="1:8" ht="23.25" customHeight="1" x14ac:dyDescent="0.15"/>
    <row r="123" spans="1:8" s="31" customFormat="1" ht="32.5" customHeight="1" x14ac:dyDescent="0.15">
      <c r="A123" s="2"/>
      <c r="B123" s="3"/>
      <c r="C123" s="95"/>
      <c r="D123" s="2"/>
      <c r="E123" s="2"/>
      <c r="F123" s="2"/>
      <c r="G123" s="1"/>
      <c r="H123" s="1"/>
    </row>
    <row r="124" spans="1:8" s="31" customFormat="1" x14ac:dyDescent="0.15">
      <c r="A124" s="2"/>
      <c r="B124" s="3"/>
      <c r="C124" s="95"/>
      <c r="D124" s="2"/>
      <c r="E124" s="2"/>
      <c r="F124" s="2"/>
      <c r="G124" s="1"/>
      <c r="H124" s="1"/>
    </row>
    <row r="125" spans="1:8" s="31" customFormat="1" x14ac:dyDescent="0.15">
      <c r="A125" s="2"/>
      <c r="B125" s="3"/>
      <c r="C125" s="95"/>
      <c r="D125" s="2"/>
      <c r="E125" s="2"/>
      <c r="F125" s="2"/>
      <c r="G125" s="1"/>
      <c r="H125" s="1"/>
    </row>
    <row r="126" spans="1:8" s="31" customFormat="1" x14ac:dyDescent="0.15">
      <c r="A126" s="2"/>
      <c r="B126" s="3"/>
      <c r="C126" s="95"/>
      <c r="D126" s="2"/>
      <c r="E126" s="2"/>
      <c r="F126" s="2"/>
      <c r="G126" s="1"/>
      <c r="H126" s="1"/>
    </row>
  </sheetData>
  <mergeCells count="42">
    <mergeCell ref="B9:F9"/>
    <mergeCell ref="A1:F1"/>
    <mergeCell ref="A5:F5"/>
    <mergeCell ref="B6:F6"/>
    <mergeCell ref="B7:F7"/>
    <mergeCell ref="B8:F8"/>
    <mergeCell ref="B10:F10"/>
    <mergeCell ref="A16:F16"/>
    <mergeCell ref="A17:B17"/>
    <mergeCell ref="C17:F17"/>
    <mergeCell ref="A18:B18"/>
    <mergeCell ref="C18:F18"/>
    <mergeCell ref="A22:F22"/>
    <mergeCell ref="A27:A28"/>
    <mergeCell ref="B27:B28"/>
    <mergeCell ref="C27:C28"/>
    <mergeCell ref="D27:D28"/>
    <mergeCell ref="E27:E28"/>
    <mergeCell ref="F27:F28"/>
    <mergeCell ref="A67:A68"/>
    <mergeCell ref="E67:E68"/>
    <mergeCell ref="A32:F32"/>
    <mergeCell ref="A37:A38"/>
    <mergeCell ref="B37:B38"/>
    <mergeCell ref="C37:C38"/>
    <mergeCell ref="D37:D38"/>
    <mergeCell ref="E37:E38"/>
    <mergeCell ref="F37:F38"/>
    <mergeCell ref="A44:F44"/>
    <mergeCell ref="A46:F46"/>
    <mergeCell ref="A47:F47"/>
    <mergeCell ref="A63:A64"/>
    <mergeCell ref="E63:E64"/>
    <mergeCell ref="A75:F75"/>
    <mergeCell ref="A69:A70"/>
    <mergeCell ref="E69:E70"/>
    <mergeCell ref="A71:A72"/>
    <mergeCell ref="E71:E72"/>
    <mergeCell ref="A73:A74"/>
    <mergeCell ref="B73:C74"/>
    <mergeCell ref="D73:D74"/>
    <mergeCell ref="E73:E74"/>
  </mergeCells>
  <hyperlinks>
    <hyperlink ref="A29" r:id="rId1" display="ROYAL HOTEL HAGIA SOPHIA" xr:uid="{9805C91D-BB52-0C44-BC58-7C0539DA65DC}"/>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96639FEE6C5498B870C17683F5FD2" ma:contentTypeVersion="16" ma:contentTypeDescription="Create a new document." ma:contentTypeScope="" ma:versionID="d5256bd8fb331cf1db812b4e5abf5f5b">
  <xsd:schema xmlns:xsd="http://www.w3.org/2001/XMLSchema" xmlns:xs="http://www.w3.org/2001/XMLSchema" xmlns:p="http://schemas.microsoft.com/office/2006/metadata/properties" xmlns:ns2="8025485c-7a63-4f55-99fe-16fae345e2f7" xmlns:ns3="d03872e0-e49a-419e-868a-cc9cbd55d866" targetNamespace="http://schemas.microsoft.com/office/2006/metadata/properties" ma:root="true" ma:fieldsID="b7b2725c536e459ddf016d751767124a" ns2:_="" ns3:_="">
    <xsd:import namespace="8025485c-7a63-4f55-99fe-16fae345e2f7"/>
    <xsd:import namespace="d03872e0-e49a-419e-868a-cc9cbd55d86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25485c-7a63-4f55-99fe-16fae345e2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4418078-4753-4af9-9c88-13346d7fb69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03872e0-e49a-419e-868a-cc9cbd55d8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591249a-1101-4547-b640-09856b11c3d2}" ma:internalName="TaxCatchAll" ma:showField="CatchAllData" ma:web="d03872e0-e49a-419e-868a-cc9cbd55d8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03872e0-e49a-419e-868a-cc9cbd55d866">
      <UserInfo>
        <DisplayName>Lea Gaitan l Liberty Sport Events</DisplayName>
        <AccountId>783</AccountId>
        <AccountType/>
      </UserInfo>
      <UserInfo>
        <DisplayName>Ekaterina Eremeeva l Liberty Russia</DisplayName>
        <AccountId>710</AccountId>
        <AccountType/>
      </UserInfo>
    </SharedWithUsers>
    <lcf76f155ced4ddcb4097134ff3c332f xmlns="8025485c-7a63-4f55-99fe-16fae345e2f7">
      <Terms xmlns="http://schemas.microsoft.com/office/infopath/2007/PartnerControls"/>
    </lcf76f155ced4ddcb4097134ff3c332f>
    <TaxCatchAll xmlns="d03872e0-e49a-419e-868a-cc9cbd55d866" xsi:nil="true"/>
  </documentManagement>
</p:properties>
</file>

<file path=customXml/itemProps1.xml><?xml version="1.0" encoding="utf-8"?>
<ds:datastoreItem xmlns:ds="http://schemas.openxmlformats.org/officeDocument/2006/customXml" ds:itemID="{80B229F8-2991-4EF4-9EF5-DEB3FED936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25485c-7a63-4f55-99fe-16fae345e2f7"/>
    <ds:schemaRef ds:uri="d03872e0-e49a-419e-868a-cc9cbd55d8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10DC3E-D76F-4629-BA0F-80ADD1C362CC}">
  <ds:schemaRefs>
    <ds:schemaRef ds:uri="http://schemas.microsoft.com/sharepoint/v3/contenttype/forms"/>
  </ds:schemaRefs>
</ds:datastoreItem>
</file>

<file path=customXml/itemProps3.xml><?xml version="1.0" encoding="utf-8"?>
<ds:datastoreItem xmlns:ds="http://schemas.openxmlformats.org/officeDocument/2006/customXml" ds:itemID="{3DFAA4FB-E626-4BF9-B7A5-2781FADAAF0B}">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8025485c-7a63-4f55-99fe-16fae345e2f7"/>
    <ds:schemaRef ds:uri="http://purl.org/dc/elements/1.1/"/>
    <ds:schemaRef ds:uri="d03872e0-e49a-419e-868a-cc9cbd55d86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First Incentive Travel,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maximilian.wenger-oehn@liberty-int.com</dc:creator>
  <cp:keywords/>
  <dc:description/>
  <cp:lastModifiedBy>Yash Yadav | Liberty India</cp:lastModifiedBy>
  <cp:revision/>
  <cp:lastPrinted>2023-11-24T08:05:53Z</cp:lastPrinted>
  <dcterms:created xsi:type="dcterms:W3CDTF">2006-11-20T16:12:03Z</dcterms:created>
  <dcterms:modified xsi:type="dcterms:W3CDTF">2025-02-19T16:03:15Z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0x01010021D96639FEE6C5498B870C17683F5FD2</vt:lpwstr>
  </property>
  <property fmtid="{D5CDD505-2E9C-101B-9397-08002B2CF9AE}" pid="3" name="MediaServiceImageTags">
    <vt:lpwstr/>
  </property>
</Properties>
</file>